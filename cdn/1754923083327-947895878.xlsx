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bed76b1acffb1a/Masaüstü/Tohid Hoca ya gönderilecekler/"/>
    </mc:Choice>
  </mc:AlternateContent>
  <xr:revisionPtr revIDLastSave="7" documentId="8_{84435D5E-162E-46B1-AAB5-2FB3D143B798}" xr6:coauthVersionLast="47" xr6:coauthVersionMax="47" xr10:uidLastSave="{359BB7EF-5329-422E-8894-96C58DC2D960}"/>
  <bookViews>
    <workbookView xWindow="-103" yWindow="-103" windowWidth="24892" windowHeight="14914" activeTab="1" xr2:uid="{45E91134-450B-43D4-95B2-7A9202F81B4E}"/>
  </bookViews>
  <sheets>
    <sheet name="Tesis" sheetId="2" r:id="rId1"/>
    <sheet name="AG-OG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6" i="2" l="1"/>
  <c r="AG36" i="2"/>
  <c r="AF36" i="2"/>
  <c r="AE36" i="2"/>
  <c r="AC36" i="2"/>
  <c r="AB36" i="2"/>
  <c r="Z36" i="2"/>
  <c r="Y36" i="2"/>
  <c r="X36" i="2"/>
  <c r="W36" i="2"/>
  <c r="V36" i="2"/>
  <c r="U36" i="2"/>
  <c r="T36" i="2"/>
  <c r="AD35" i="2"/>
  <c r="AA35" i="2"/>
  <c r="AD34" i="2"/>
  <c r="AA34" i="2"/>
  <c r="AD33" i="2"/>
  <c r="AA33" i="2"/>
  <c r="AD32" i="2"/>
  <c r="AA32" i="2"/>
  <c r="AD31" i="2"/>
  <c r="AA31" i="2"/>
  <c r="AD30" i="2"/>
  <c r="AA30" i="2"/>
  <c r="AA36" i="2" s="1"/>
  <c r="AD29" i="2"/>
  <c r="AA29" i="2"/>
  <c r="AD28" i="2"/>
  <c r="AA28" i="2"/>
  <c r="AD27" i="2"/>
  <c r="AA27" i="2"/>
  <c r="AD26" i="2"/>
  <c r="AD36" i="2" s="1"/>
  <c r="AA26" i="2"/>
  <c r="AH24" i="2"/>
  <c r="AG24" i="2"/>
  <c r="AC24" i="2"/>
  <c r="AB24" i="2"/>
  <c r="Z24" i="2"/>
  <c r="Y24" i="2"/>
  <c r="X24" i="2"/>
  <c r="W24" i="2"/>
  <c r="V24" i="2"/>
  <c r="U24" i="2"/>
  <c r="T24" i="2"/>
  <c r="AA23" i="2"/>
  <c r="AA22" i="2"/>
  <c r="AA21" i="2"/>
  <c r="AA20" i="2"/>
  <c r="AD19" i="2"/>
  <c r="AA19" i="2"/>
  <c r="AA18" i="2"/>
  <c r="AA17" i="2"/>
  <c r="AD16" i="2"/>
  <c r="AA16" i="2"/>
  <c r="AA15" i="2"/>
  <c r="AA14" i="2"/>
  <c r="AD13" i="2"/>
  <c r="AD12" i="2"/>
  <c r="AA12" i="2"/>
  <c r="AA11" i="2"/>
  <c r="AA10" i="2"/>
  <c r="AD9" i="2"/>
  <c r="AA9" i="2"/>
  <c r="AD8" i="2"/>
  <c r="AA8" i="2"/>
  <c r="AD7" i="2"/>
  <c r="AA7" i="2"/>
  <c r="AA6" i="2"/>
  <c r="AE5" i="2"/>
  <c r="AF5" i="2" s="1"/>
  <c r="AF24" i="2" s="1"/>
  <c r="AD5" i="2"/>
  <c r="AD24" i="2" s="1"/>
  <c r="AC5" i="2"/>
  <c r="AA5" i="2"/>
  <c r="AA24" i="2" s="1"/>
  <c r="H88" i="1"/>
  <c r="H90" i="1" s="1"/>
  <c r="H77" i="1"/>
  <c r="H84" i="1" s="1"/>
  <c r="AD57" i="1"/>
  <c r="Z57" i="1"/>
  <c r="V57" i="1"/>
  <c r="T57" i="1"/>
  <c r="R57" i="1"/>
  <c r="P57" i="1"/>
  <c r="N57" i="1"/>
  <c r="M57" i="1"/>
  <c r="AJ56" i="1"/>
  <c r="AN56" i="1" s="1"/>
  <c r="AE56" i="1"/>
  <c r="Y56" i="1"/>
  <c r="X56" i="1"/>
  <c r="AM56" i="1" s="1"/>
  <c r="AP56" i="1" s="1"/>
  <c r="W56" i="1"/>
  <c r="U56" i="1"/>
  <c r="S56" i="1"/>
  <c r="Q56" i="1"/>
  <c r="O56" i="1"/>
  <c r="AP55" i="1"/>
  <c r="AM55" i="1"/>
  <c r="AL55" i="1"/>
  <c r="AK55" i="1"/>
  <c r="AO55" i="1" s="1"/>
  <c r="AJ55" i="1"/>
  <c r="AN55" i="1" s="1"/>
  <c r="AE55" i="1"/>
  <c r="W55" i="1"/>
  <c r="U55" i="1"/>
  <c r="S55" i="1"/>
  <c r="Q55" i="1"/>
  <c r="O55" i="1"/>
  <c r="AE54" i="1"/>
  <c r="Z54" i="1"/>
  <c r="AA54" i="1" s="1"/>
  <c r="AA57" i="1" s="1"/>
  <c r="Y54" i="1"/>
  <c r="X54" i="1"/>
  <c r="AM54" i="1" s="1"/>
  <c r="AP54" i="1" s="1"/>
  <c r="U54" i="1"/>
  <c r="S54" i="1"/>
  <c r="Q54" i="1"/>
  <c r="O54" i="1"/>
  <c r="AP53" i="1"/>
  <c r="AM53" i="1"/>
  <c r="AL53" i="1"/>
  <c r="AK53" i="1"/>
  <c r="AO53" i="1" s="1"/>
  <c r="AJ53" i="1"/>
  <c r="AN53" i="1" s="1"/>
  <c r="AE53" i="1"/>
  <c r="W53" i="1"/>
  <c r="U53" i="1"/>
  <c r="S53" i="1"/>
  <c r="Q53" i="1"/>
  <c r="O53" i="1"/>
  <c r="AJ52" i="1"/>
  <c r="AN52" i="1" s="1"/>
  <c r="Y52" i="1"/>
  <c r="X52" i="1"/>
  <c r="AM52" i="1" s="1"/>
  <c r="AP52" i="1" s="1"/>
  <c r="W52" i="1"/>
  <c r="U52" i="1"/>
  <c r="S52" i="1"/>
  <c r="Q52" i="1"/>
  <c r="O52" i="1"/>
  <c r="AJ51" i="1"/>
  <c r="AN51" i="1" s="1"/>
  <c r="Y51" i="1"/>
  <c r="X51" i="1"/>
  <c r="AM51" i="1" s="1"/>
  <c r="AP51" i="1" s="1"/>
  <c r="W51" i="1"/>
  <c r="U51" i="1"/>
  <c r="S51" i="1"/>
  <c r="Q51" i="1"/>
  <c r="O51" i="1"/>
  <c r="AJ50" i="1"/>
  <c r="AN50" i="1" s="1"/>
  <c r="Y50" i="1"/>
  <c r="X50" i="1"/>
  <c r="AM50" i="1" s="1"/>
  <c r="AP50" i="1" s="1"/>
  <c r="W50" i="1"/>
  <c r="U50" i="1"/>
  <c r="S50" i="1"/>
  <c r="Q50" i="1"/>
  <c r="Q57" i="1" s="1"/>
  <c r="O50" i="1"/>
  <c r="O57" i="1" s="1"/>
  <c r="L50" i="1"/>
  <c r="AL50" i="1" s="1"/>
  <c r="AJ49" i="1"/>
  <c r="AN49" i="1" s="1"/>
  <c r="AE49" i="1"/>
  <c r="Y49" i="1"/>
  <c r="X49" i="1"/>
  <c r="AK49" i="1" s="1"/>
  <c r="AO49" i="1" s="1"/>
  <c r="W49" i="1"/>
  <c r="U49" i="1"/>
  <c r="S49" i="1"/>
  <c r="S57" i="1" s="1"/>
  <c r="Q49" i="1"/>
  <c r="O49" i="1"/>
  <c r="AJ48" i="1"/>
  <c r="AN48" i="1" s="1"/>
  <c r="AE48" i="1"/>
  <c r="Y48" i="1"/>
  <c r="X48" i="1"/>
  <c r="AM48" i="1" s="1"/>
  <c r="AP48" i="1" s="1"/>
  <c r="W48" i="1"/>
  <c r="U48" i="1"/>
  <c r="S48" i="1"/>
  <c r="Q48" i="1"/>
  <c r="O48" i="1"/>
  <c r="AJ47" i="1"/>
  <c r="AN47" i="1" s="1"/>
  <c r="Y47" i="1"/>
  <c r="X47" i="1"/>
  <c r="AK47" i="1" s="1"/>
  <c r="AO47" i="1" s="1"/>
  <c r="W47" i="1"/>
  <c r="U47" i="1"/>
  <c r="S47" i="1"/>
  <c r="Q47" i="1"/>
  <c r="O47" i="1"/>
  <c r="AJ46" i="1"/>
  <c r="AE46" i="1"/>
  <c r="AE57" i="1" s="1"/>
  <c r="AQ57" i="1" s="1"/>
  <c r="Y46" i="1"/>
  <c r="Y57" i="1" s="1"/>
  <c r="X46" i="1"/>
  <c r="X57" i="1" s="1"/>
  <c r="W46" i="1"/>
  <c r="W57" i="1" s="1"/>
  <c r="U46" i="1"/>
  <c r="U57" i="1" s="1"/>
  <c r="S46" i="1"/>
  <c r="Q46" i="1"/>
  <c r="O46" i="1"/>
  <c r="AK44" i="1"/>
  <c r="AE44" i="1"/>
  <c r="AQ44" i="1" s="1"/>
  <c r="AD44" i="1"/>
  <c r="Z44" i="1"/>
  <c r="Y44" i="1"/>
  <c r="X44" i="1"/>
  <c r="V44" i="1"/>
  <c r="R44" i="1"/>
  <c r="P44" i="1"/>
  <c r="O44" i="1"/>
  <c r="N44" i="1"/>
  <c r="M44" i="1"/>
  <c r="AM43" i="1"/>
  <c r="AP43" i="1" s="1"/>
  <c r="AL43" i="1"/>
  <c r="AK43" i="1"/>
  <c r="AO43" i="1" s="1"/>
  <c r="AJ43" i="1"/>
  <c r="AN43" i="1" s="1"/>
  <c r="AE43" i="1"/>
  <c r="W43" i="1"/>
  <c r="U43" i="1"/>
  <c r="S43" i="1"/>
  <c r="Q43" i="1"/>
  <c r="O43" i="1"/>
  <c r="AP42" i="1"/>
  <c r="AM42" i="1"/>
  <c r="AL42" i="1"/>
  <c r="AK42" i="1"/>
  <c r="AO42" i="1" s="1"/>
  <c r="AJ42" i="1"/>
  <c r="AN42" i="1" s="1"/>
  <c r="AE42" i="1"/>
  <c r="AA42" i="1"/>
  <c r="W42" i="1"/>
  <c r="U42" i="1"/>
  <c r="S42" i="1"/>
  <c r="Q42" i="1"/>
  <c r="O42" i="1"/>
  <c r="AP41" i="1"/>
  <c r="AM41" i="1"/>
  <c r="AL41" i="1"/>
  <c r="AK41" i="1"/>
  <c r="AO41" i="1" s="1"/>
  <c r="AJ41" i="1"/>
  <c r="AN41" i="1" s="1"/>
  <c r="AE41" i="1"/>
  <c r="AA41" i="1"/>
  <c r="W41" i="1"/>
  <c r="U41" i="1"/>
  <c r="S41" i="1"/>
  <c r="Q41" i="1"/>
  <c r="Q44" i="1" s="1"/>
  <c r="O41" i="1"/>
  <c r="AK40" i="1"/>
  <c r="AO40" i="1" s="1"/>
  <c r="AE40" i="1"/>
  <c r="AA40" i="1"/>
  <c r="AA44" i="1" s="1"/>
  <c r="W40" i="1"/>
  <c r="W44" i="1" s="1"/>
  <c r="T40" i="1"/>
  <c r="AJ40" i="1" s="1"/>
  <c r="S40" i="1"/>
  <c r="S44" i="1" s="1"/>
  <c r="Q40" i="1"/>
  <c r="O40" i="1"/>
  <c r="AD37" i="1"/>
  <c r="V37" i="1"/>
  <c r="T37" i="1"/>
  <c r="R37" i="1"/>
  <c r="P37" i="1"/>
  <c r="N37" i="1"/>
  <c r="M37" i="1"/>
  <c r="AJ36" i="1"/>
  <c r="AN36" i="1" s="1"/>
  <c r="X36" i="1"/>
  <c r="AL36" i="1" s="1"/>
  <c r="W36" i="1"/>
  <c r="U36" i="1"/>
  <c r="S36" i="1"/>
  <c r="Q36" i="1"/>
  <c r="O36" i="1"/>
  <c r="AJ35" i="1"/>
  <c r="AN35" i="1" s="1"/>
  <c r="AE35" i="1"/>
  <c r="Y35" i="1"/>
  <c r="X35" i="1"/>
  <c r="AL35" i="1" s="1"/>
  <c r="W35" i="1"/>
  <c r="U35" i="1"/>
  <c r="S35" i="1"/>
  <c r="Q35" i="1"/>
  <c r="O35" i="1"/>
  <c r="AM34" i="1"/>
  <c r="AP34" i="1" s="1"/>
  <c r="AL34" i="1"/>
  <c r="AK34" i="1"/>
  <c r="AO34" i="1" s="1"/>
  <c r="AJ34" i="1"/>
  <c r="AN34" i="1" s="1"/>
  <c r="W34" i="1"/>
  <c r="U34" i="1"/>
  <c r="S34" i="1"/>
  <c r="Q34" i="1"/>
  <c r="O34" i="1"/>
  <c r="AP33" i="1"/>
  <c r="AM33" i="1"/>
  <c r="AL33" i="1"/>
  <c r="AK33" i="1"/>
  <c r="AO33" i="1" s="1"/>
  <c r="AJ33" i="1"/>
  <c r="AN33" i="1" s="1"/>
  <c r="W33" i="1"/>
  <c r="U33" i="1"/>
  <c r="S33" i="1"/>
  <c r="Q33" i="1"/>
  <c r="O33" i="1"/>
  <c r="AN32" i="1"/>
  <c r="AJ32" i="1"/>
  <c r="Y32" i="1"/>
  <c r="X32" i="1"/>
  <c r="AM32" i="1" s="1"/>
  <c r="AP32" i="1" s="1"/>
  <c r="W32" i="1"/>
  <c r="U32" i="1"/>
  <c r="S32" i="1"/>
  <c r="Q32" i="1"/>
  <c r="O32" i="1"/>
  <c r="AP31" i="1"/>
  <c r="AO31" i="1"/>
  <c r="AN31" i="1"/>
  <c r="AM31" i="1"/>
  <c r="AL31" i="1"/>
  <c r="AK31" i="1"/>
  <c r="AJ31" i="1"/>
  <c r="W31" i="1"/>
  <c r="U31" i="1"/>
  <c r="S31" i="1"/>
  <c r="Q31" i="1"/>
  <c r="O31" i="1"/>
  <c r="AO30" i="1"/>
  <c r="AN30" i="1"/>
  <c r="AM30" i="1"/>
  <c r="AP30" i="1" s="1"/>
  <c r="AL30" i="1"/>
  <c r="AK30" i="1"/>
  <c r="AJ30" i="1"/>
  <c r="W30" i="1"/>
  <c r="U30" i="1"/>
  <c r="S30" i="1"/>
  <c r="Q30" i="1"/>
  <c r="O30" i="1"/>
  <c r="AN29" i="1"/>
  <c r="AM29" i="1"/>
  <c r="AP29" i="1" s="1"/>
  <c r="AL29" i="1"/>
  <c r="AK29" i="1"/>
  <c r="AO29" i="1" s="1"/>
  <c r="AJ29" i="1"/>
  <c r="Y29" i="1"/>
  <c r="W29" i="1"/>
  <c r="U29" i="1"/>
  <c r="S29" i="1"/>
  <c r="Q29" i="1"/>
  <c r="O29" i="1"/>
  <c r="AM28" i="1"/>
  <c r="AP28" i="1" s="1"/>
  <c r="AL28" i="1"/>
  <c r="AK28" i="1"/>
  <c r="AO28" i="1" s="1"/>
  <c r="AJ28" i="1"/>
  <c r="AN28" i="1" s="1"/>
  <c r="W28" i="1"/>
  <c r="U28" i="1"/>
  <c r="S28" i="1"/>
  <c r="Q28" i="1"/>
  <c r="O28" i="1"/>
  <c r="AM27" i="1"/>
  <c r="AP27" i="1" s="1"/>
  <c r="AL27" i="1"/>
  <c r="AK27" i="1"/>
  <c r="AO27" i="1" s="1"/>
  <c r="AJ27" i="1"/>
  <c r="AN27" i="1" s="1"/>
  <c r="W27" i="1"/>
  <c r="U27" i="1"/>
  <c r="S27" i="1"/>
  <c r="Q27" i="1"/>
  <c r="O27" i="1"/>
  <c r="AJ26" i="1"/>
  <c r="AN26" i="1" s="1"/>
  <c r="AE26" i="1"/>
  <c r="AE37" i="1" s="1"/>
  <c r="AQ37" i="1" s="1"/>
  <c r="Y26" i="1"/>
  <c r="Y37" i="1" s="1"/>
  <c r="X26" i="1"/>
  <c r="AL26" i="1" s="1"/>
  <c r="W26" i="1"/>
  <c r="U26" i="1"/>
  <c r="S26" i="1"/>
  <c r="Q26" i="1"/>
  <c r="O26" i="1"/>
  <c r="AM25" i="1"/>
  <c r="AP25" i="1" s="1"/>
  <c r="AL25" i="1"/>
  <c r="AK25" i="1"/>
  <c r="AO25" i="1" s="1"/>
  <c r="AJ25" i="1"/>
  <c r="AN25" i="1" s="1"/>
  <c r="W25" i="1"/>
  <c r="U25" i="1"/>
  <c r="S25" i="1"/>
  <c r="Q25" i="1"/>
  <c r="O25" i="1"/>
  <c r="AM24" i="1"/>
  <c r="AP24" i="1" s="1"/>
  <c r="AL24" i="1"/>
  <c r="AK24" i="1"/>
  <c r="AO24" i="1" s="1"/>
  <c r="AJ24" i="1"/>
  <c r="AN24" i="1" s="1"/>
  <c r="W24" i="1"/>
  <c r="W37" i="1" s="1"/>
  <c r="U24" i="1"/>
  <c r="U37" i="1" s="1"/>
  <c r="S24" i="1"/>
  <c r="S37" i="1" s="1"/>
  <c r="Q24" i="1"/>
  <c r="Q37" i="1" s="1"/>
  <c r="O24" i="1"/>
  <c r="O37" i="1" s="1"/>
  <c r="AD22" i="1"/>
  <c r="AA22" i="1"/>
  <c r="Z22" i="1"/>
  <c r="Y22" i="1"/>
  <c r="X22" i="1"/>
  <c r="V22" i="1"/>
  <c r="R22" i="1"/>
  <c r="Q22" i="1"/>
  <c r="P22" i="1"/>
  <c r="O22" i="1"/>
  <c r="N22" i="1"/>
  <c r="M22" i="1"/>
  <c r="AP21" i="1"/>
  <c r="AO21" i="1"/>
  <c r="AN21" i="1"/>
  <c r="AM21" i="1"/>
  <c r="AL21" i="1"/>
  <c r="AK21" i="1"/>
  <c r="AJ21" i="1"/>
  <c r="U21" i="1"/>
  <c r="AM20" i="1"/>
  <c r="AP20" i="1" s="1"/>
  <c r="AL20" i="1"/>
  <c r="AK20" i="1"/>
  <c r="AO20" i="1" s="1"/>
  <c r="AJ20" i="1"/>
  <c r="AN20" i="1" s="1"/>
  <c r="AE20" i="1"/>
  <c r="AA20" i="1"/>
  <c r="W20" i="1"/>
  <c r="U20" i="1"/>
  <c r="S20" i="1"/>
  <c r="Q20" i="1"/>
  <c r="AM19" i="1"/>
  <c r="AP19" i="1" s="1"/>
  <c r="AL19" i="1"/>
  <c r="AK19" i="1"/>
  <c r="AO19" i="1" s="1"/>
  <c r="AJ19" i="1"/>
  <c r="AN19" i="1" s="1"/>
  <c r="AE19" i="1"/>
  <c r="W19" i="1"/>
  <c r="U19" i="1"/>
  <c r="S19" i="1"/>
  <c r="Q19" i="1"/>
  <c r="AK18" i="1"/>
  <c r="AO18" i="1" s="1"/>
  <c r="AE18" i="1"/>
  <c r="AE22" i="1" s="1"/>
  <c r="AQ22" i="1" s="1"/>
  <c r="W18" i="1"/>
  <c r="T18" i="1"/>
  <c r="T22" i="1" s="1"/>
  <c r="S18" i="1"/>
  <c r="Q18" i="1"/>
  <c r="O18" i="1"/>
  <c r="AM17" i="1"/>
  <c r="AP17" i="1" s="1"/>
  <c r="AL17" i="1"/>
  <c r="AK17" i="1"/>
  <c r="AK22" i="1" s="1"/>
  <c r="AJ17" i="1"/>
  <c r="AO16" i="1"/>
  <c r="AN16" i="1"/>
  <c r="AM16" i="1"/>
  <c r="AL16" i="1"/>
  <c r="AK16" i="1"/>
  <c r="AJ16" i="1"/>
  <c r="W16" i="1"/>
  <c r="W22" i="1" s="1"/>
  <c r="U16" i="1"/>
  <c r="S16" i="1"/>
  <c r="S22" i="1" s="1"/>
  <c r="Q16" i="1"/>
  <c r="O16" i="1"/>
  <c r="AQ13" i="1"/>
  <c r="AA13" i="1"/>
  <c r="Z13" i="1"/>
  <c r="X13" i="1"/>
  <c r="W13" i="1"/>
  <c r="V13" i="1"/>
  <c r="U13" i="1"/>
  <c r="T13" i="1"/>
  <c r="R13" i="1"/>
  <c r="P13" i="1"/>
  <c r="O13" i="1"/>
  <c r="N13" i="1"/>
  <c r="M13" i="1"/>
  <c r="AN12" i="1"/>
  <c r="AM12" i="1"/>
  <c r="AP12" i="1" s="1"/>
  <c r="AL12" i="1"/>
  <c r="AK12" i="1"/>
  <c r="AO12" i="1" s="1"/>
  <c r="AJ12" i="1"/>
  <c r="U12" i="1"/>
  <c r="S12" i="1"/>
  <c r="Q12" i="1"/>
  <c r="Q13" i="1" s="1"/>
  <c r="O12" i="1"/>
  <c r="AM11" i="1"/>
  <c r="AM13" i="1" s="1"/>
  <c r="AL11" i="1"/>
  <c r="AL13" i="1" s="1"/>
  <c r="AK11" i="1"/>
  <c r="AO11" i="1" s="1"/>
  <c r="AO13" i="1" s="1"/>
  <c r="AJ11" i="1"/>
  <c r="AJ13" i="1" s="1"/>
  <c r="Y11" i="1"/>
  <c r="Y13" i="1" s="1"/>
  <c r="U11" i="1"/>
  <c r="S11" i="1"/>
  <c r="S13" i="1" s="1"/>
  <c r="Q11" i="1"/>
  <c r="O11" i="1"/>
  <c r="AK9" i="1"/>
  <c r="AG9" i="1"/>
  <c r="AQ9" i="1" s="1"/>
  <c r="AF9" i="1"/>
  <c r="AD9" i="1"/>
  <c r="Z9" i="1"/>
  <c r="Y9" i="1"/>
  <c r="X9" i="1"/>
  <c r="W9" i="1"/>
  <c r="V9" i="1"/>
  <c r="R9" i="1"/>
  <c r="Q9" i="1"/>
  <c r="P9" i="1"/>
  <c r="O9" i="1"/>
  <c r="N9" i="1"/>
  <c r="M9" i="1"/>
  <c r="AM8" i="1"/>
  <c r="AP8" i="1" s="1"/>
  <c r="AL8" i="1"/>
  <c r="AK8" i="1"/>
  <c r="AO8" i="1" s="1"/>
  <c r="AJ8" i="1"/>
  <c r="AN8" i="1" s="1"/>
  <c r="AG8" i="1"/>
  <c r="AE8" i="1"/>
  <c r="AA8" i="1"/>
  <c r="AA9" i="1" s="1"/>
  <c r="AP7" i="1"/>
  <c r="AO7" i="1"/>
  <c r="AM7" i="1"/>
  <c r="AL7" i="1"/>
  <c r="AK7" i="1"/>
  <c r="AJ7" i="1"/>
  <c r="AN7" i="1" s="1"/>
  <c r="AG7" i="1"/>
  <c r="AE7" i="1"/>
  <c r="U7" i="1"/>
  <c r="AO6" i="1"/>
  <c r="AK6" i="1"/>
  <c r="AE6" i="1"/>
  <c r="AE9" i="1" s="1"/>
  <c r="AA6" i="1"/>
  <c r="R6" i="1"/>
  <c r="Q6" i="1"/>
  <c r="AO5" i="1"/>
  <c r="AM5" i="1"/>
  <c r="AP5" i="1" s="1"/>
  <c r="AL5" i="1"/>
  <c r="AK5" i="1"/>
  <c r="AG5" i="1"/>
  <c r="AA5" i="1"/>
  <c r="T5" i="1"/>
  <c r="AJ5" i="1" s="1"/>
  <c r="S5" i="1"/>
  <c r="AE24" i="2" l="1"/>
  <c r="AN40" i="1"/>
  <c r="AN44" i="1" s="1"/>
  <c r="AJ44" i="1"/>
  <c r="AN37" i="1"/>
  <c r="AQ60" i="1"/>
  <c r="AL37" i="1"/>
  <c r="AO9" i="1"/>
  <c r="AJ57" i="1"/>
  <c r="AN5" i="1"/>
  <c r="AL22" i="1"/>
  <c r="AO44" i="1"/>
  <c r="AJ6" i="1"/>
  <c r="AN6" i="1" s="1"/>
  <c r="AO14" i="1"/>
  <c r="U22" i="1"/>
  <c r="AJ18" i="1"/>
  <c r="AN18" i="1" s="1"/>
  <c r="AK26" i="1"/>
  <c r="AK46" i="1"/>
  <c r="AL47" i="1"/>
  <c r="AN17" i="1"/>
  <c r="AN22" i="1" s="1"/>
  <c r="AJ37" i="1"/>
  <c r="U18" i="1"/>
  <c r="AP16" i="1"/>
  <c r="AK48" i="1"/>
  <c r="AO48" i="1" s="1"/>
  <c r="AM26" i="1"/>
  <c r="AK35" i="1"/>
  <c r="AO35" i="1" s="1"/>
  <c r="AL48" i="1"/>
  <c r="AM36" i="1"/>
  <c r="AP36" i="1" s="1"/>
  <c r="AL40" i="1"/>
  <c r="AL44" i="1" s="1"/>
  <c r="AN46" i="1"/>
  <c r="AN57" i="1" s="1"/>
  <c r="AN58" i="1" s="1"/>
  <c r="AL49" i="1"/>
  <c r="AK51" i="1"/>
  <c r="AO51" i="1" s="1"/>
  <c r="AK52" i="1"/>
  <c r="AO52" i="1" s="1"/>
  <c r="AJ54" i="1"/>
  <c r="AN54" i="1" s="1"/>
  <c r="AL18" i="1"/>
  <c r="AM18" i="1"/>
  <c r="AP18" i="1" s="1"/>
  <c r="AK13" i="1"/>
  <c r="U5" i="1"/>
  <c r="AO17" i="1"/>
  <c r="AO22" i="1" s="1"/>
  <c r="AM35" i="1"/>
  <c r="AP35" i="1" s="1"/>
  <c r="X37" i="1"/>
  <c r="AM40" i="1"/>
  <c r="AM49" i="1"/>
  <c r="AP49" i="1" s="1"/>
  <c r="AL51" i="1"/>
  <c r="AL52" i="1"/>
  <c r="AK54" i="1"/>
  <c r="AO54" i="1" s="1"/>
  <c r="AK56" i="1"/>
  <c r="AO56" i="1" s="1"/>
  <c r="T44" i="1"/>
  <c r="AK36" i="1"/>
  <c r="AO36" i="1" s="1"/>
  <c r="AM47" i="1"/>
  <c r="AP47" i="1" s="1"/>
  <c r="T6" i="1"/>
  <c r="AP11" i="1"/>
  <c r="AP13" i="1" s="1"/>
  <c r="AK50" i="1"/>
  <c r="AO50" i="1" s="1"/>
  <c r="AK32" i="1"/>
  <c r="AO32" i="1" s="1"/>
  <c r="AL54" i="1"/>
  <c r="AL56" i="1"/>
  <c r="AN11" i="1"/>
  <c r="AN13" i="1" s="1"/>
  <c r="S6" i="1"/>
  <c r="S9" i="1" s="1"/>
  <c r="U40" i="1"/>
  <c r="U44" i="1" s="1"/>
  <c r="AL46" i="1"/>
  <c r="AL57" i="1" s="1"/>
  <c r="AM46" i="1"/>
  <c r="AL32" i="1"/>
  <c r="AK37" i="1" l="1"/>
  <c r="AO26" i="1"/>
  <c r="AO37" i="1" s="1"/>
  <c r="AO38" i="1" s="1"/>
  <c r="AR13" i="1"/>
  <c r="AK57" i="1"/>
  <c r="AO46" i="1"/>
  <c r="AO57" i="1" s="1"/>
  <c r="AO58" i="1" s="1"/>
  <c r="AP40" i="1"/>
  <c r="AP44" i="1" s="1"/>
  <c r="AR44" i="1" s="1"/>
  <c r="AM44" i="1"/>
  <c r="AP46" i="1"/>
  <c r="AP57" i="1" s="1"/>
  <c r="AR57" i="1" s="1"/>
  <c r="AM57" i="1"/>
  <c r="AP58" i="1"/>
  <c r="AU58" i="1" s="1"/>
  <c r="AN38" i="1"/>
  <c r="AP38" i="1" s="1"/>
  <c r="AU38" i="1" s="1"/>
  <c r="AP26" i="1"/>
  <c r="AP37" i="1" s="1"/>
  <c r="AR37" i="1" s="1"/>
  <c r="AM37" i="1"/>
  <c r="T9" i="1"/>
  <c r="U6" i="1"/>
  <c r="U9" i="1" s="1"/>
  <c r="AM6" i="1"/>
  <c r="AL6" i="1"/>
  <c r="AL9" i="1" s="1"/>
  <c r="AJ9" i="1"/>
  <c r="AJ22" i="1"/>
  <c r="AP22" i="1"/>
  <c r="AR22" i="1" s="1"/>
  <c r="AN9" i="1"/>
  <c r="AN14" i="1" s="1"/>
  <c r="AM22" i="1"/>
  <c r="AP6" i="1" l="1"/>
  <c r="AP9" i="1" s="1"/>
  <c r="AM9" i="1"/>
  <c r="AM65" i="1" s="1"/>
  <c r="AQ65" i="1" s="1"/>
  <c r="AM64" i="1"/>
  <c r="AQ64" i="1" s="1"/>
  <c r="AR9" i="1" l="1"/>
  <c r="AR60" i="1" s="1"/>
  <c r="AP14" i="1"/>
  <c r="AU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Oğuz Sertaç YILMAZ</author>
  </authors>
  <commentList>
    <comment ref="AD6" authorId="0" shapeId="0" xr:uid="{B55DFB60-A857-4169-9612-FF8414DA8313}">
      <text>
        <r>
          <rPr>
            <b/>
            <sz val="9"/>
            <color indexed="81"/>
            <rFont val="Tahoma"/>
            <family val="2"/>
            <charset val="162"/>
          </rPr>
          <t>Oğuz Sertaç YILMAZ:</t>
        </r>
        <r>
          <rPr>
            <sz val="9"/>
            <color indexed="81"/>
            <rFont val="Tahoma"/>
            <family val="2"/>
            <charset val="162"/>
          </rPr>
          <t xml:space="preserve">
40 direk arası iletken: 
=40*3*100=12.000mt*0,35078=4.209 kğ*118,35=498.000 TL
</t>
        </r>
      </text>
    </comment>
  </commentList>
</comments>
</file>

<file path=xl/sharedStrings.xml><?xml version="1.0" encoding="utf-8"?>
<sst xmlns="http://schemas.openxmlformats.org/spreadsheetml/2006/main" count="482" uniqueCount="224">
  <si>
    <t>İPATLLERİ YAZLIMMMMM</t>
  </si>
  <si>
    <t xml:space="preserve">Güney-1 </t>
  </si>
  <si>
    <t>1. Hak.</t>
  </si>
  <si>
    <t>2. Hak.</t>
  </si>
  <si>
    <t>3. Hak.BO</t>
  </si>
  <si>
    <t>4. Hak. BO</t>
  </si>
  <si>
    <t>5. Hak. BO</t>
  </si>
  <si>
    <t>5. Hak. KET</t>
  </si>
  <si>
    <t>6. Hak. BO</t>
  </si>
  <si>
    <t>6. Hak. KET</t>
  </si>
  <si>
    <t>7. Hak. BO 
Kasım</t>
  </si>
  <si>
    <t>8. Hak. BO
Aralık</t>
  </si>
  <si>
    <t>8. Hak. KET
Aralık</t>
  </si>
  <si>
    <t>BO Toplam Sayı</t>
  </si>
  <si>
    <t>KET Toplam Sayı</t>
  </si>
  <si>
    <t>TOPLAM 
Dikilen</t>
  </si>
  <si>
    <t>Genel 
Toplam</t>
  </si>
  <si>
    <t xml:space="preserve">Hakedişe girilen Toplam
AG OG BO </t>
  </si>
  <si>
    <t>Hakedişe girilen Toplam
AG KET</t>
  </si>
  <si>
    <t>KET Kodu</t>
  </si>
  <si>
    <t>İlgili 
Müh.</t>
  </si>
  <si>
    <t>İŞİ Yapan</t>
  </si>
  <si>
    <t>Başlangıç
Tarihi</t>
  </si>
  <si>
    <t>Hedef Bitiş 
Tarihi</t>
  </si>
  <si>
    <t>Revize 
Bitiş Tar.</t>
  </si>
  <si>
    <t>Yapım
Yüzdeliği</t>
  </si>
  <si>
    <t>Ortama 
Ağırlık</t>
  </si>
  <si>
    <t>YAPILACAK 
D.S.</t>
  </si>
  <si>
    <t>İptal 
edilen</t>
  </si>
  <si>
    <t>Miktar</t>
  </si>
  <si>
    <t>Ağrlk</t>
  </si>
  <si>
    <t>KALAN</t>
  </si>
  <si>
    <t>BO Toplamı</t>
  </si>
  <si>
    <t>KET Toplamı</t>
  </si>
  <si>
    <t>Tutar</t>
  </si>
  <si>
    <t>MD söyleyecek</t>
  </si>
  <si>
    <t>TOPLAMA DAHİL EDİLMEYEN</t>
  </si>
  <si>
    <t>OG</t>
  </si>
  <si>
    <t>EskiBoynuyoğun  004</t>
  </si>
  <si>
    <t>UÇ</t>
  </si>
  <si>
    <t>Cesur-Salih</t>
  </si>
  <si>
    <t>Hamamköy  001</t>
  </si>
  <si>
    <t>Salih Daş</t>
  </si>
  <si>
    <t>Dallık  002</t>
  </si>
  <si>
    <t>Cesur</t>
  </si>
  <si>
    <t>11.10.2024-31.01.25</t>
  </si>
  <si>
    <t>Çırpı Tire Sulama</t>
  </si>
  <si>
    <t>BÖ</t>
  </si>
  <si>
    <t>Salih-Vedat</t>
  </si>
  <si>
    <t>TOPLAM</t>
  </si>
  <si>
    <t>AG</t>
  </si>
  <si>
    <t xml:space="preserve">Yenioba-TR-1 005 </t>
  </si>
  <si>
    <t>P24IZ11K-001</t>
  </si>
  <si>
    <t>BİTTİ</t>
  </si>
  <si>
    <t>17.01  GK imzalanacak</t>
  </si>
  <si>
    <t>Yenioba-TR-2 006</t>
  </si>
  <si>
    <t>Güney-2</t>
  </si>
  <si>
    <t>Zeytinova  001</t>
  </si>
  <si>
    <t>Lütfü-Sami</t>
  </si>
  <si>
    <t>GK Başvuruldu</t>
  </si>
  <si>
    <t>Bozbağ Fideri</t>
  </si>
  <si>
    <t>Çırpı Sulama 004</t>
  </si>
  <si>
    <r>
      <rPr>
        <sz val="8"/>
        <color theme="0" tint="-0.14999847407452621"/>
        <rFont val="Aptos"/>
        <family val="2"/>
      </rPr>
      <t>Lütfü-Sami</t>
    </r>
    <r>
      <rPr>
        <sz val="9"/>
        <rFont val="Aptos"/>
        <family val="2"/>
      </rPr>
      <t>+
 İzzet Bekir</t>
    </r>
  </si>
  <si>
    <t>1 ad direk fazla sipariş verilmiş</t>
  </si>
  <si>
    <t xml:space="preserve">Basın Yayın </t>
  </si>
  <si>
    <t>Salih.2</t>
  </si>
  <si>
    <t>İPTALLL</t>
  </si>
  <si>
    <t>Yoncaköy 019-003</t>
  </si>
  <si>
    <t>OA</t>
  </si>
  <si>
    <t xml:space="preserve"> Yapılacak 4 ilave direk yapılacak</t>
  </si>
  <si>
    <t>Köyler Çamlık</t>
  </si>
  <si>
    <t>Karakuyu TR-10  009</t>
  </si>
  <si>
    <t>Devran</t>
  </si>
  <si>
    <t xml:space="preserve">BİTTİ  21.01 eksik bitecek 23.01 kabul imzası </t>
  </si>
  <si>
    <t>Çakırbeyli TR-3  011</t>
  </si>
  <si>
    <t>Sarılar  006</t>
  </si>
  <si>
    <t>P24IZ12K-002</t>
  </si>
  <si>
    <t>BİTTİ   Eksik var Ocak 25 sonu 04.02.2025 kabul imzası</t>
  </si>
  <si>
    <t>Atatürk TR-3  012</t>
  </si>
  <si>
    <t>Bağyurdu TR-1 014</t>
  </si>
  <si>
    <t>BİTTİ Saha gezilecek 22.01.25</t>
  </si>
  <si>
    <t>Bağyurdu TR-7 013</t>
  </si>
  <si>
    <t>P24IZ12K-001</t>
  </si>
  <si>
    <t>L-100   007</t>
  </si>
  <si>
    <t>Fuat</t>
  </si>
  <si>
    <t>BİTTİ  22.01 DM alınacak Kiralık 1 saatlik vinçle 23.01 imza</t>
  </si>
  <si>
    <t>L-101 008</t>
  </si>
  <si>
    <t>BİTTİ Caner bey ile MD 17.01</t>
  </si>
  <si>
    <t>L-102   010</t>
  </si>
  <si>
    <t>P24IZ12K-005</t>
  </si>
  <si>
    <t>294 kğ toplam hakedişe eksik girilmiş</t>
  </si>
  <si>
    <t>L-107  015</t>
  </si>
  <si>
    <t>BİTTİ proje onayı alınacak MD 17.01</t>
  </si>
  <si>
    <t>L-108  016</t>
  </si>
  <si>
    <t>L-97  0017</t>
  </si>
  <si>
    <t>P24IZ12K-003</t>
  </si>
  <si>
    <t>BİTTİ  23.01</t>
  </si>
  <si>
    <t>1 direk eksik girilmiş</t>
  </si>
  <si>
    <t>L-98  0018</t>
  </si>
  <si>
    <t>P24IZ12K-004</t>
  </si>
  <si>
    <t>5 direk eksik girilmiş</t>
  </si>
  <si>
    <t xml:space="preserve">Kuzey </t>
  </si>
  <si>
    <t>Çoraklar Kalabak 002</t>
  </si>
  <si>
    <t>BŞ</t>
  </si>
  <si>
    <t>Meust</t>
  </si>
  <si>
    <t>yeraltı yapın dedndi kabul kaldı</t>
  </si>
  <si>
    <t>toplam 159 direk montaj yapıldı. 4 tane de alt montajçöp oldu</t>
  </si>
  <si>
    <t>Kesikköy Buruncuk  003</t>
  </si>
  <si>
    <r>
      <rPr>
        <sz val="9"/>
        <color theme="0" tint="-0.14999847407452621"/>
        <rFont val="Aptos"/>
        <family val="2"/>
      </rPr>
      <t>Tekin+</t>
    </r>
    <r>
      <rPr>
        <sz val="9"/>
        <rFont val="Aptos"/>
        <family val="2"/>
      </rPr>
      <t xml:space="preserve"> Mesut</t>
    </r>
  </si>
  <si>
    <t>İskele Kök Y.Şakran  001</t>
  </si>
  <si>
    <t>Mesut.2</t>
  </si>
  <si>
    <t>Orman izni bekleniyor.</t>
  </si>
  <si>
    <t>toplam 99 direk montaj yapıldı. 2 tane de alt montajçöp oldu</t>
  </si>
  <si>
    <t>Bağcılar Çaltı  015</t>
  </si>
  <si>
    <t>BİTTİ  17.01 de imzalanmış olacak</t>
  </si>
  <si>
    <t>14.01  GK imzalanacak</t>
  </si>
  <si>
    <t>Yortanlı 013</t>
  </si>
  <si>
    <t>P24IZ13K-008</t>
  </si>
  <si>
    <t>İrfan</t>
  </si>
  <si>
    <t>10 direk eksik girilmiş</t>
  </si>
  <si>
    <t>Çürürkbağ 007</t>
  </si>
  <si>
    <t>P24IZ13K-004</t>
  </si>
  <si>
    <t>3 direk eksik girilmiş</t>
  </si>
  <si>
    <t>Pireveliler  006</t>
  </si>
  <si>
    <t>P24IZ13K-003</t>
  </si>
  <si>
    <t>7 direk eksik girilmiş</t>
  </si>
  <si>
    <t>Akçenger  010</t>
  </si>
  <si>
    <t>P24IZ13K-006</t>
  </si>
  <si>
    <t>2 direk eksik girilmiş</t>
  </si>
  <si>
    <t>Karalar  009</t>
  </si>
  <si>
    <t>P24IZ13K-005</t>
  </si>
  <si>
    <t>Katrancı 012</t>
  </si>
  <si>
    <t>P24IZ13K-007</t>
  </si>
  <si>
    <t>4 direk eksik girilmiş</t>
  </si>
  <si>
    <t>Alhatlı  011</t>
  </si>
  <si>
    <t>P24IZ13K-009</t>
  </si>
  <si>
    <t>Trafo direği traversi girilmemiş</t>
  </si>
  <si>
    <t>Ürkütler  005</t>
  </si>
  <si>
    <t>P24IZ13K-002</t>
  </si>
  <si>
    <t>Güneşli 014</t>
  </si>
  <si>
    <t>P24IZ13K-010</t>
  </si>
  <si>
    <t>Eski Karaköy  008</t>
  </si>
  <si>
    <t>Mustafa</t>
  </si>
  <si>
    <t>15.01  GK imzalanacak</t>
  </si>
  <si>
    <t>HİÇ HAKEDİŞ YAPILMAMIŞ</t>
  </si>
  <si>
    <t>Hatundere TR-1 004</t>
  </si>
  <si>
    <t>P24IZ13K-001</t>
  </si>
  <si>
    <t>BİTTİ 1 ad DM direk var 20.01 e kadar</t>
  </si>
  <si>
    <t>Günlük takip tablosu</t>
  </si>
  <si>
    <t>TOPLAM Dikilen AG direk sayısı</t>
  </si>
  <si>
    <t>TOPLAM Dikilen OG direk sayısı</t>
  </si>
  <si>
    <t>Basın Yayın</t>
  </si>
  <si>
    <t>Ve kalanlara göre iş isteyeceğiz (Tahmini 90 ad direk kalır demişti 134 ad kalıyor KT)</t>
  </si>
  <si>
    <t>Sayım sonucu Direk sayısı</t>
  </si>
  <si>
    <t>:</t>
  </si>
  <si>
    <t>Fabrikadan gelen Direk Say.</t>
  </si>
  <si>
    <t>Geçen Yıldan kalan Direk say.</t>
  </si>
  <si>
    <t>TOPLAM Direk sayısı</t>
  </si>
  <si>
    <t>Dikeilen</t>
  </si>
  <si>
    <t>Laka</t>
  </si>
  <si>
    <t>Bergama İM</t>
  </si>
  <si>
    <t>Arslanlar</t>
  </si>
  <si>
    <t>Zeytinalan</t>
  </si>
  <si>
    <t>Güneşli</t>
  </si>
  <si>
    <t>ELDE KALAN</t>
  </si>
  <si>
    <t>Toplam Dikilen Direk sayısı</t>
  </si>
  <si>
    <t>Dikilecek olan Direk sayısı</t>
  </si>
  <si>
    <t>TOPLAM dikilen direk sayısı</t>
  </si>
  <si>
    <t>Stokta kalan direk sayısı</t>
  </si>
  <si>
    <t>Salih</t>
  </si>
  <si>
    <t>üstü üstüne her ay ortalama</t>
  </si>
  <si>
    <t>kişi</t>
  </si>
  <si>
    <t>TOPLAM 
Direk</t>
  </si>
  <si>
    <t>TOPLAM 
Kanal</t>
  </si>
  <si>
    <t>GDZ Kodu</t>
  </si>
  <si>
    <t>Kanal
hedef</t>
  </si>
  <si>
    <t>Kanal 
Kazılan</t>
  </si>
  <si>
    <t>Kablo 
Hedef</t>
  </si>
  <si>
    <t>Kablo 
Yapılan</t>
  </si>
  <si>
    <t>Hcm</t>
  </si>
  <si>
    <t>Söğütlügedik</t>
  </si>
  <si>
    <t>TEDAŞ</t>
  </si>
  <si>
    <t>Soylu TR-2</t>
  </si>
  <si>
    <t>GDZ</t>
  </si>
  <si>
    <t>DM 2/17</t>
  </si>
  <si>
    <t>KT yok dedi</t>
  </si>
  <si>
    <t>DM 2/26</t>
  </si>
  <si>
    <t>DM 2/27</t>
  </si>
  <si>
    <t>DM 2/23</t>
  </si>
  <si>
    <t>Çayırlıyörükler TR-4/ Akçaşehir  TR-3</t>
  </si>
  <si>
    <t>1 direk yatık</t>
  </si>
  <si>
    <t>Seferihisar M-223</t>
  </si>
  <si>
    <t>KT</t>
  </si>
  <si>
    <t>Urla Otelcilik</t>
  </si>
  <si>
    <t>Derebaşı TR-16</t>
  </si>
  <si>
    <t>ÇambelTR-5</t>
  </si>
  <si>
    <t>İPTAL EDİLDİ GDZ</t>
  </si>
  <si>
    <t>Dibekçi TR-1</t>
  </si>
  <si>
    <t>Devran+İrfan</t>
  </si>
  <si>
    <t>Devam ediyor</t>
  </si>
  <si>
    <t>Dibekçi TR-2</t>
  </si>
  <si>
    <t>Dibekçi TR-3</t>
  </si>
  <si>
    <t>Dibekçi TR-4</t>
  </si>
  <si>
    <t>Dibekçi TR-5</t>
  </si>
  <si>
    <t>Dibekçi TR-6</t>
  </si>
  <si>
    <t>Dibekçi TR-7</t>
  </si>
  <si>
    <t>Dibekçi ENH</t>
  </si>
  <si>
    <t>Doğu-2</t>
  </si>
  <si>
    <t>Küçükvaulcuk TR-1</t>
  </si>
  <si>
    <t>A.İhsan Lafçı</t>
  </si>
  <si>
    <t>Küçükavulcuk TR-6</t>
  </si>
  <si>
    <t>Tekke TR-6</t>
  </si>
  <si>
    <t>Devam Ediyor</t>
  </si>
  <si>
    <t xml:space="preserve">Tekke TR-7 </t>
  </si>
  <si>
    <t>Toparlar TR-1</t>
  </si>
  <si>
    <t>Mithat Koçak</t>
  </si>
  <si>
    <t>Toparlar TR-2</t>
  </si>
  <si>
    <t>Toparlar TR-3</t>
  </si>
  <si>
    <t>Toparlar ENH</t>
  </si>
  <si>
    <t>Büyükkömürcü TR-1</t>
  </si>
  <si>
    <t xml:space="preserve">Küçükkömürcü TR-1   </t>
  </si>
  <si>
    <t>Toparlarda</t>
  </si>
  <si>
    <t>Şantiye -1</t>
  </si>
  <si>
    <t>Şantiye 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</si>
</sst>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0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charset val="162"/>
      <scheme val="minor"/>
    </font>
    <font>
      <b/>
      <sz val="9"/>
      <color rgb="FFFF0000"/>
      <name val="Aptos Narrow"/>
      <family val="2"/>
      <charset val="162"/>
      <scheme val="minor"/>
    </font>
    <font>
      <sz val="9"/>
      <name val="Aptos Narrow"/>
      <family val="2"/>
      <scheme val="minor"/>
    </font>
    <font>
      <b/>
      <sz val="9"/>
      <color theme="1"/>
      <name val="Aptos"/>
      <family val="2"/>
      <charset val="162"/>
    </font>
    <font>
      <b/>
      <sz val="8"/>
      <color theme="1"/>
      <name val="Aptos Narrow"/>
      <family val="2"/>
      <charset val="162"/>
      <scheme val="minor"/>
    </font>
    <font>
      <b/>
      <sz val="9"/>
      <name val="Aptos Narrow"/>
      <family val="2"/>
      <charset val="162"/>
      <scheme val="minor"/>
    </font>
    <font>
      <b/>
      <sz val="9"/>
      <color rgb="FF00B0F0"/>
      <name val="Aptos Narrow"/>
      <family val="2"/>
      <charset val="162"/>
      <scheme val="minor"/>
    </font>
    <font>
      <b/>
      <sz val="9"/>
      <name val="Aptos Narrow"/>
      <family val="2"/>
      <scheme val="minor"/>
    </font>
    <font>
      <b/>
      <sz val="9"/>
      <name val="Aptos"/>
      <family val="2"/>
      <charset val="162"/>
    </font>
    <font>
      <b/>
      <sz val="8"/>
      <name val="Aptos"/>
      <family val="2"/>
      <charset val="162"/>
    </font>
    <font>
      <sz val="9"/>
      <name val="Aptos"/>
      <family val="2"/>
    </font>
    <font>
      <sz val="9"/>
      <color rgb="FFFF0000"/>
      <name val="Aptos"/>
      <family val="2"/>
    </font>
    <font>
      <sz val="9"/>
      <color theme="0" tint="-0.14999847407452621"/>
      <name val="Aptos Narrow"/>
      <family val="2"/>
      <scheme val="minor"/>
    </font>
    <font>
      <b/>
      <sz val="9"/>
      <color theme="0" tint="-0.14999847407452621"/>
      <name val="Aptos Narrow"/>
      <family val="2"/>
      <scheme val="minor"/>
    </font>
    <font>
      <b/>
      <sz val="9"/>
      <color rgb="FF00B050"/>
      <name val="Aptos Narrow"/>
      <family val="2"/>
      <charset val="162"/>
      <scheme val="minor"/>
    </font>
    <font>
      <b/>
      <sz val="8"/>
      <color rgb="FF00B050"/>
      <name val="Aptos Narrow"/>
      <family val="2"/>
      <charset val="162"/>
      <scheme val="minor"/>
    </font>
    <font>
      <b/>
      <sz val="8"/>
      <color rgb="FF00B0F0"/>
      <name val="Aptos Narrow"/>
      <family val="2"/>
      <scheme val="minor"/>
    </font>
    <font>
      <sz val="9"/>
      <color rgb="FF00B0F0"/>
      <name val="Aptos"/>
      <family val="2"/>
    </font>
    <font>
      <b/>
      <sz val="8"/>
      <color rgb="FF00B0F0"/>
      <name val="Aptos Narrow"/>
      <family val="2"/>
      <charset val="162"/>
      <scheme val="minor"/>
    </font>
    <font>
      <b/>
      <sz val="9"/>
      <color rgb="FF00B0F0"/>
      <name val="Aptos"/>
      <family val="2"/>
    </font>
    <font>
      <b/>
      <sz val="8"/>
      <color rgb="FF00B0F0"/>
      <name val="Aptos"/>
      <family val="2"/>
    </font>
    <font>
      <b/>
      <sz val="9"/>
      <color theme="0" tint="-0.14999847407452621"/>
      <name val="Aptos"/>
      <family val="2"/>
      <charset val="162"/>
    </font>
    <font>
      <sz val="9"/>
      <color theme="0" tint="-0.14999847407452621"/>
      <name val="Aptos"/>
      <family val="2"/>
    </font>
    <font>
      <b/>
      <sz val="9"/>
      <color theme="0" tint="-0.14999847407452621"/>
      <name val="Aptos Narrow"/>
      <family val="2"/>
      <charset val="162"/>
      <scheme val="minor"/>
    </font>
    <font>
      <b/>
      <sz val="9"/>
      <name val="Aptos"/>
      <family val="2"/>
    </font>
    <font>
      <sz val="8"/>
      <color theme="0" tint="-0.14999847407452621"/>
      <name val="Aptos"/>
      <family val="2"/>
    </font>
    <font>
      <b/>
      <sz val="8"/>
      <color theme="0" tint="-0.14999847407452621"/>
      <name val="Aptos"/>
      <family val="2"/>
      <charset val="162"/>
    </font>
    <font>
      <b/>
      <sz val="9"/>
      <color rgb="FF00B0F0"/>
      <name val="Aptos Narrow"/>
      <family val="2"/>
      <scheme val="minor"/>
    </font>
    <font>
      <sz val="9"/>
      <color rgb="FF00B0F0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11"/>
      <color theme="1"/>
      <name val="Aptos"/>
      <family val="2"/>
    </font>
    <font>
      <sz val="8"/>
      <color theme="1"/>
      <name val="Aptos"/>
      <family val="2"/>
    </font>
    <font>
      <sz val="8"/>
      <color theme="1"/>
      <name val="Aptos Narrow"/>
      <family val="2"/>
      <charset val="162"/>
      <scheme val="minor"/>
    </font>
    <font>
      <sz val="8"/>
      <color rgb="FFFF0000"/>
      <name val="Aptos Narrow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9"/>
      <color rgb="FF00B050"/>
      <name val="Aptos Narrow"/>
      <family val="2"/>
      <scheme val="minor"/>
    </font>
    <font>
      <sz val="9"/>
      <color theme="1"/>
      <name val="Aptos Narrow"/>
      <family val="2"/>
      <charset val="162"/>
      <scheme val="minor"/>
    </font>
    <font>
      <sz val="9"/>
      <name val="Aptos"/>
      <family val="2"/>
      <charset val="162"/>
    </font>
    <font>
      <sz val="9"/>
      <color rgb="FF00B050"/>
      <name val="Aptos Narrow"/>
      <family val="2"/>
      <scheme val="minor"/>
    </font>
    <font>
      <sz val="9"/>
      <color theme="1"/>
      <name val="Aptos"/>
      <family val="2"/>
    </font>
    <font>
      <sz val="9"/>
      <color theme="0" tint="-0.14999847407452621"/>
      <name val="Aptos"/>
      <family val="2"/>
      <charset val="162"/>
    </font>
    <font>
      <sz val="9"/>
      <color rgb="FF00B050"/>
      <name val="Aptos Narrow"/>
      <family val="2"/>
      <charset val="162"/>
      <scheme val="minor"/>
    </font>
    <font>
      <sz val="9"/>
      <color theme="0" tint="-0.14999847407452621"/>
      <name val="Aptos Narrow"/>
      <family val="2"/>
      <charset val="162"/>
      <scheme val="minor"/>
    </font>
    <font>
      <sz val="8"/>
      <color theme="0" tint="-0.1499984740745262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78">
    <xf numFmtId="0" fontId="0" fillId="0" borderId="0" xfId="0"/>
    <xf numFmtId="0" fontId="3" fillId="0" borderId="0" xfId="2" applyFont="1"/>
    <xf numFmtId="0" fontId="4" fillId="0" borderId="0" xfId="2" applyFont="1"/>
    <xf numFmtId="0" fontId="5" fillId="0" borderId="0" xfId="2" applyFont="1"/>
    <xf numFmtId="0" fontId="6" fillId="0" borderId="0" xfId="2" applyFont="1"/>
    <xf numFmtId="164" fontId="3" fillId="0" borderId="0" xfId="3" applyNumberFormat="1" applyFont="1"/>
    <xf numFmtId="164" fontId="7" fillId="0" borderId="0" xfId="3" applyNumberFormat="1" applyFont="1" applyFill="1"/>
    <xf numFmtId="164" fontId="3" fillId="0" borderId="0" xfId="3" applyNumberFormat="1" applyFont="1" applyFill="1"/>
    <xf numFmtId="0" fontId="8" fillId="0" borderId="1" xfId="2" applyFont="1" applyBorder="1" applyAlignment="1">
      <alignment horizontal="center" vertical="center" textRotation="90"/>
    </xf>
    <xf numFmtId="0" fontId="5" fillId="0" borderId="1" xfId="2" applyFont="1" applyBorder="1" applyAlignment="1">
      <alignment horizontal="center"/>
    </xf>
    <xf numFmtId="0" fontId="9" fillId="0" borderId="1" xfId="2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12" fillId="0" borderId="2" xfId="2" applyFont="1" applyBorder="1" applyAlignment="1">
      <alignment horizontal="center" wrapText="1"/>
    </xf>
    <xf numFmtId="0" fontId="11" fillId="0" borderId="2" xfId="2" applyFont="1" applyBorder="1" applyAlignment="1">
      <alignment horizontal="center" wrapText="1"/>
    </xf>
    <xf numFmtId="0" fontId="6" fillId="0" borderId="1" xfId="2" applyFont="1" applyBorder="1" applyAlignment="1">
      <alignment horizontal="center" wrapText="1"/>
    </xf>
    <xf numFmtId="0" fontId="5" fillId="0" borderId="1" xfId="2" applyFont="1" applyBorder="1" applyAlignment="1">
      <alignment wrapText="1"/>
    </xf>
    <xf numFmtId="0" fontId="5" fillId="0" borderId="0" xfId="2" applyFont="1" applyAlignment="1">
      <alignment wrapText="1"/>
    </xf>
    <xf numFmtId="0" fontId="5" fillId="2" borderId="0" xfId="2" applyFont="1" applyFill="1" applyAlignment="1">
      <alignment wrapText="1"/>
    </xf>
    <xf numFmtId="0" fontId="5" fillId="0" borderId="1" xfId="2" applyFont="1" applyBorder="1" applyAlignment="1">
      <alignment horizontal="center" wrapText="1"/>
    </xf>
    <xf numFmtId="0" fontId="5" fillId="0" borderId="1" xfId="2" applyFont="1" applyBorder="1"/>
    <xf numFmtId="0" fontId="6" fillId="0" borderId="1" xfId="2" applyFont="1" applyBorder="1" applyAlignment="1">
      <alignment wrapText="1"/>
    </xf>
    <xf numFmtId="164" fontId="5" fillId="3" borderId="1" xfId="3" applyNumberFormat="1" applyFont="1" applyFill="1" applyBorder="1" applyAlignment="1">
      <alignment wrapText="1"/>
    </xf>
    <xf numFmtId="0" fontId="10" fillId="0" borderId="1" xfId="2" applyFont="1" applyBorder="1" applyAlignment="1">
      <alignment wrapText="1"/>
    </xf>
    <xf numFmtId="164" fontId="10" fillId="3" borderId="1" xfId="3" applyNumberFormat="1" applyFont="1" applyFill="1" applyBorder="1" applyAlignment="1">
      <alignment wrapText="1"/>
    </xf>
    <xf numFmtId="164" fontId="10" fillId="4" borderId="1" xfId="3" applyNumberFormat="1" applyFont="1" applyFill="1" applyBorder="1" applyAlignment="1">
      <alignment wrapText="1"/>
    </xf>
    <xf numFmtId="164" fontId="10" fillId="5" borderId="1" xfId="3" applyNumberFormat="1" applyFont="1" applyFill="1" applyBorder="1" applyAlignment="1">
      <alignment wrapText="1"/>
    </xf>
    <xf numFmtId="0" fontId="12" fillId="0" borderId="1" xfId="2" applyFont="1" applyBorder="1" applyAlignment="1">
      <alignment wrapText="1"/>
    </xf>
    <xf numFmtId="0" fontId="5" fillId="0" borderId="0" xfId="2" applyFont="1" applyAlignment="1">
      <alignment horizontal="center"/>
    </xf>
    <xf numFmtId="0" fontId="5" fillId="0" borderId="1" xfId="2" applyFont="1" applyBorder="1" applyAlignment="1">
      <alignment horizontal="center" vertical="center" textRotation="90" wrapText="1"/>
    </xf>
    <xf numFmtId="0" fontId="13" fillId="0" borderId="1" xfId="2" applyFont="1" applyBorder="1"/>
    <xf numFmtId="0" fontId="14" fillId="0" borderId="1" xfId="2" applyFont="1" applyBorder="1"/>
    <xf numFmtId="0" fontId="15" fillId="0" borderId="1" xfId="2" applyFont="1" applyBorder="1"/>
    <xf numFmtId="0" fontId="15" fillId="0" borderId="2" xfId="2" applyFont="1" applyBorder="1"/>
    <xf numFmtId="14" fontId="15" fillId="0" borderId="3" xfId="2" applyNumberFormat="1" applyFont="1" applyBorder="1"/>
    <xf numFmtId="17" fontId="15" fillId="0" borderId="2" xfId="2" applyNumberFormat="1" applyFont="1" applyBorder="1"/>
    <xf numFmtId="9" fontId="15" fillId="0" borderId="1" xfId="2" applyNumberFormat="1" applyFont="1" applyBorder="1"/>
    <xf numFmtId="0" fontId="16" fillId="0" borderId="1" xfId="2" applyFont="1" applyBorder="1"/>
    <xf numFmtId="0" fontId="17" fillId="0" borderId="1" xfId="2" applyFont="1" applyBorder="1"/>
    <xf numFmtId="164" fontId="17" fillId="3" borderId="1" xfId="3" applyNumberFormat="1" applyFont="1" applyFill="1" applyBorder="1"/>
    <xf numFmtId="164" fontId="17" fillId="0" borderId="1" xfId="3" applyNumberFormat="1" applyFont="1" applyFill="1" applyBorder="1"/>
    <xf numFmtId="164" fontId="17" fillId="4" borderId="1" xfId="3" applyNumberFormat="1" applyFont="1" applyFill="1" applyBorder="1"/>
    <xf numFmtId="164" fontId="17" fillId="5" borderId="1" xfId="3" applyNumberFormat="1" applyFont="1" applyFill="1" applyBorder="1"/>
    <xf numFmtId="164" fontId="18" fillId="4" borderId="1" xfId="3" applyNumberFormat="1" applyFont="1" applyFill="1" applyBorder="1" applyAlignment="1">
      <alignment wrapText="1"/>
    </xf>
    <xf numFmtId="164" fontId="18" fillId="5" borderId="1" xfId="3" applyNumberFormat="1" applyFont="1" applyFill="1" applyBorder="1" applyAlignment="1">
      <alignment wrapText="1"/>
    </xf>
    <xf numFmtId="164" fontId="17" fillId="0" borderId="0" xfId="3" applyNumberFormat="1" applyFont="1"/>
    <xf numFmtId="164" fontId="12" fillId="0" borderId="1" xfId="3" applyNumberFormat="1" applyFont="1" applyFill="1" applyBorder="1" applyAlignment="1">
      <alignment wrapText="1"/>
    </xf>
    <xf numFmtId="164" fontId="3" fillId="0" borderId="1" xfId="2" applyNumberFormat="1" applyFont="1" applyBorder="1"/>
    <xf numFmtId="164" fontId="7" fillId="0" borderId="1" xfId="2" applyNumberFormat="1" applyFont="1" applyBorder="1"/>
    <xf numFmtId="164" fontId="3" fillId="3" borderId="1" xfId="3" applyNumberFormat="1" applyFont="1" applyFill="1" applyBorder="1"/>
    <xf numFmtId="14" fontId="15" fillId="0" borderId="1" xfId="2" applyNumberFormat="1" applyFont="1" applyBorder="1"/>
    <xf numFmtId="43" fontId="5" fillId="0" borderId="0" xfId="1" applyFont="1" applyBorder="1" applyAlignment="1">
      <alignment horizontal="center"/>
    </xf>
    <xf numFmtId="0" fontId="19" fillId="0" borderId="1" xfId="2" applyFont="1" applyBorder="1"/>
    <xf numFmtId="0" fontId="20" fillId="0" borderId="1" xfId="2" applyFont="1" applyBorder="1"/>
    <xf numFmtId="0" fontId="19" fillId="0" borderId="1" xfId="2" applyFont="1" applyBorder="1" applyAlignment="1">
      <alignment horizontal="center"/>
    </xf>
    <xf numFmtId="164" fontId="19" fillId="0" borderId="1" xfId="3" applyNumberFormat="1" applyFont="1" applyBorder="1"/>
    <xf numFmtId="164" fontId="19" fillId="3" borderId="1" xfId="3" applyNumberFormat="1" applyFont="1" applyFill="1" applyBorder="1"/>
    <xf numFmtId="164" fontId="19" fillId="4" borderId="1" xfId="3" applyNumberFormat="1" applyFont="1" applyFill="1" applyBorder="1"/>
    <xf numFmtId="164" fontId="19" fillId="5" borderId="1" xfId="3" applyNumberFormat="1" applyFont="1" applyFill="1" applyBorder="1"/>
    <xf numFmtId="164" fontId="19" fillId="0" borderId="1" xfId="3" applyNumberFormat="1" applyFont="1" applyFill="1" applyBorder="1"/>
    <xf numFmtId="164" fontId="11" fillId="4" borderId="1" xfId="3" applyNumberFormat="1" applyFont="1" applyFill="1" applyBorder="1" applyAlignment="1">
      <alignment wrapText="1"/>
    </xf>
    <xf numFmtId="164" fontId="11" fillId="5" borderId="1" xfId="3" applyNumberFormat="1" applyFont="1" applyFill="1" applyBorder="1" applyAlignment="1">
      <alignment wrapText="1"/>
    </xf>
    <xf numFmtId="164" fontId="19" fillId="0" borderId="0" xfId="3" applyNumberFormat="1" applyFont="1" applyBorder="1"/>
    <xf numFmtId="0" fontId="5" fillId="6" borderId="1" xfId="2" applyFont="1" applyFill="1" applyBorder="1"/>
    <xf numFmtId="0" fontId="19" fillId="6" borderId="1" xfId="2" applyFont="1" applyFill="1" applyBorder="1"/>
    <xf numFmtId="0" fontId="20" fillId="6" borderId="1" xfId="2" applyFont="1" applyFill="1" applyBorder="1"/>
    <xf numFmtId="164" fontId="19" fillId="6" borderId="1" xfId="3" applyNumberFormat="1" applyFont="1" applyFill="1" applyBorder="1"/>
    <xf numFmtId="164" fontId="12" fillId="6" borderId="1" xfId="3" applyNumberFormat="1" applyFont="1" applyFill="1" applyBorder="1"/>
    <xf numFmtId="164" fontId="19" fillId="6" borderId="0" xfId="3" applyNumberFormat="1" applyFont="1" applyFill="1" applyBorder="1"/>
    <xf numFmtId="0" fontId="11" fillId="7" borderId="1" xfId="2" applyFont="1" applyFill="1" applyBorder="1"/>
    <xf numFmtId="0" fontId="21" fillId="0" borderId="1" xfId="2" applyFont="1" applyBorder="1"/>
    <xf numFmtId="0" fontId="11" fillId="0" borderId="1" xfId="2" applyFont="1" applyBorder="1"/>
    <xf numFmtId="0" fontId="22" fillId="0" borderId="1" xfId="2" applyFont="1" applyBorder="1"/>
    <xf numFmtId="164" fontId="18" fillId="3" borderId="1" xfId="3" applyNumberFormat="1" applyFont="1" applyFill="1" applyBorder="1"/>
    <xf numFmtId="164" fontId="18" fillId="0" borderId="1" xfId="3" applyNumberFormat="1" applyFont="1" applyFill="1" applyBorder="1"/>
    <xf numFmtId="164" fontId="18" fillId="4" borderId="1" xfId="3" applyNumberFormat="1" applyFont="1" applyFill="1" applyBorder="1"/>
    <xf numFmtId="164" fontId="18" fillId="5" borderId="1" xfId="3" applyNumberFormat="1" applyFont="1" applyFill="1" applyBorder="1"/>
    <xf numFmtId="164" fontId="3" fillId="0" borderId="1" xfId="3" applyNumberFormat="1" applyFont="1" applyBorder="1"/>
    <xf numFmtId="164" fontId="3" fillId="0" borderId="0" xfId="3" applyNumberFormat="1" applyFont="1" applyBorder="1"/>
    <xf numFmtId="0" fontId="23" fillId="0" borderId="1" xfId="2" applyFont="1" applyBorder="1"/>
    <xf numFmtId="164" fontId="12" fillId="0" borderId="1" xfId="3" applyNumberFormat="1" applyFont="1" applyFill="1" applyBorder="1"/>
    <xf numFmtId="43" fontId="19" fillId="0" borderId="0" xfId="1" applyFont="1" applyBorder="1"/>
    <xf numFmtId="43" fontId="3" fillId="0" borderId="0" xfId="2" applyNumberFormat="1" applyFont="1"/>
    <xf numFmtId="0" fontId="3" fillId="0" borderId="1" xfId="2" applyFont="1" applyBorder="1"/>
    <xf numFmtId="0" fontId="3" fillId="8" borderId="1" xfId="2" applyFont="1" applyFill="1" applyBorder="1"/>
    <xf numFmtId="0" fontId="19" fillId="8" borderId="1" xfId="2" applyFont="1" applyFill="1" applyBorder="1"/>
    <xf numFmtId="0" fontId="20" fillId="8" borderId="1" xfId="2" applyFont="1" applyFill="1" applyBorder="1"/>
    <xf numFmtId="164" fontId="19" fillId="8" borderId="1" xfId="3" applyNumberFormat="1" applyFont="1" applyFill="1" applyBorder="1"/>
    <xf numFmtId="164" fontId="12" fillId="8" borderId="1" xfId="3" applyNumberFormat="1" applyFont="1" applyFill="1" applyBorder="1"/>
    <xf numFmtId="164" fontId="3" fillId="8" borderId="1" xfId="3" applyNumberFormat="1" applyFont="1" applyFill="1" applyBorder="1"/>
    <xf numFmtId="164" fontId="3" fillId="8" borderId="0" xfId="3" applyNumberFormat="1" applyFont="1" applyFill="1" applyBorder="1"/>
    <xf numFmtId="0" fontId="24" fillId="0" borderId="1" xfId="2" applyFont="1" applyBorder="1"/>
    <xf numFmtId="0" fontId="25" fillId="0" borderId="1" xfId="2" applyFont="1" applyBorder="1"/>
    <xf numFmtId="0" fontId="26" fillId="0" borderId="1" xfId="2" applyFont="1" applyBorder="1"/>
    <xf numFmtId="0" fontId="27" fillId="0" borderId="1" xfId="2" applyFont="1" applyBorder="1"/>
    <xf numFmtId="164" fontId="28" fillId="4" borderId="1" xfId="3" applyNumberFormat="1" applyFont="1" applyFill="1" applyBorder="1" applyAlignment="1">
      <alignment wrapText="1"/>
    </xf>
    <xf numFmtId="164" fontId="28" fillId="5" borderId="1" xfId="3" applyNumberFormat="1" applyFont="1" applyFill="1" applyBorder="1" applyAlignment="1">
      <alignment wrapText="1"/>
    </xf>
    <xf numFmtId="0" fontId="29" fillId="0" borderId="1" xfId="2" applyFont="1" applyBorder="1"/>
    <xf numFmtId="0" fontId="15" fillId="0" borderId="1" xfId="2" applyFont="1" applyBorder="1" applyAlignment="1">
      <alignment wrapText="1"/>
    </xf>
    <xf numFmtId="0" fontId="18" fillId="0" borderId="1" xfId="2" applyFont="1" applyBorder="1"/>
    <xf numFmtId="0" fontId="31" fillId="0" borderId="1" xfId="2" applyFont="1" applyBorder="1"/>
    <xf numFmtId="9" fontId="27" fillId="0" borderId="1" xfId="2" applyNumberFormat="1" applyFont="1" applyBorder="1"/>
    <xf numFmtId="0" fontId="28" fillId="0" borderId="1" xfId="2" applyFont="1" applyBorder="1"/>
    <xf numFmtId="164" fontId="17" fillId="0" borderId="1" xfId="2" applyNumberFormat="1" applyFont="1" applyBorder="1"/>
    <xf numFmtId="0" fontId="17" fillId="0" borderId="0" xfId="2" applyFont="1"/>
    <xf numFmtId="0" fontId="32" fillId="7" borderId="1" xfId="2" applyFont="1" applyFill="1" applyBorder="1"/>
    <xf numFmtId="0" fontId="32" fillId="0" borderId="1" xfId="2" applyFont="1" applyBorder="1"/>
    <xf numFmtId="0" fontId="33" fillId="0" borderId="1" xfId="2" applyFont="1" applyBorder="1"/>
    <xf numFmtId="164" fontId="18" fillId="0" borderId="1" xfId="3" applyNumberFormat="1" applyFont="1" applyFill="1" applyBorder="1" applyAlignment="1">
      <alignment wrapText="1"/>
    </xf>
    <xf numFmtId="0" fontId="34" fillId="0" borderId="1" xfId="2" applyFont="1" applyBorder="1"/>
    <xf numFmtId="0" fontId="32" fillId="2" borderId="1" xfId="2" applyFont="1" applyFill="1" applyBorder="1"/>
    <xf numFmtId="0" fontId="24" fillId="7" borderId="1" xfId="2" applyFont="1" applyFill="1" applyBorder="1"/>
    <xf numFmtId="0" fontId="9" fillId="0" borderId="1" xfId="2" applyFont="1" applyBorder="1"/>
    <xf numFmtId="164" fontId="3" fillId="0" borderId="0" xfId="2" applyNumberFormat="1" applyFont="1"/>
    <xf numFmtId="0" fontId="4" fillId="0" borderId="1" xfId="2" applyFont="1" applyBorder="1"/>
    <xf numFmtId="164" fontId="3" fillId="0" borderId="1" xfId="3" applyNumberFormat="1" applyFont="1" applyFill="1" applyBorder="1"/>
    <xf numFmtId="164" fontId="7" fillId="0" borderId="1" xfId="3" applyNumberFormat="1" applyFont="1" applyFill="1" applyBorder="1"/>
    <xf numFmtId="0" fontId="14" fillId="0" borderId="0" xfId="2" applyFont="1"/>
    <xf numFmtId="0" fontId="13" fillId="0" borderId="0" xfId="2" applyFont="1"/>
    <xf numFmtId="0" fontId="35" fillId="0" borderId="0" xfId="0" applyFont="1" applyAlignment="1">
      <alignment horizontal="left" vertical="center" indent="4"/>
    </xf>
    <xf numFmtId="0" fontId="36" fillId="0" borderId="0" xfId="0" applyFont="1" applyAlignment="1">
      <alignment horizontal="left" vertical="center" indent="4"/>
    </xf>
    <xf numFmtId="0" fontId="0" fillId="0" borderId="0" xfId="0" applyAlignment="1">
      <alignment horizontal="left" vertical="center" indent="2"/>
    </xf>
    <xf numFmtId="0" fontId="37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3"/>
    </xf>
    <xf numFmtId="0" fontId="37" fillId="0" borderId="0" xfId="0" applyFont="1" applyAlignment="1">
      <alignment horizontal="left" vertical="center" indent="3"/>
    </xf>
    <xf numFmtId="0" fontId="38" fillId="0" borderId="1" xfId="2" applyFont="1" applyBorder="1"/>
    <xf numFmtId="0" fontId="8" fillId="0" borderId="1" xfId="2" applyFont="1" applyBorder="1" applyAlignment="1">
      <alignment vertical="center" textRotation="90"/>
    </xf>
    <xf numFmtId="164" fontId="5" fillId="9" borderId="1" xfId="3" applyNumberFormat="1" applyFont="1" applyFill="1" applyBorder="1" applyAlignment="1">
      <alignment wrapText="1"/>
    </xf>
    <xf numFmtId="0" fontId="41" fillId="0" borderId="1" xfId="2" applyFont="1" applyBorder="1"/>
    <xf numFmtId="0" fontId="42" fillId="0" borderId="1" xfId="0" applyFont="1" applyBorder="1" applyAlignment="1">
      <alignment vertical="center"/>
    </xf>
    <xf numFmtId="0" fontId="43" fillId="0" borderId="1" xfId="2" applyFont="1" applyBorder="1"/>
    <xf numFmtId="14" fontId="3" fillId="0" borderId="1" xfId="2" applyNumberFormat="1" applyFont="1" applyBorder="1"/>
    <xf numFmtId="164" fontId="3" fillId="9" borderId="1" xfId="3" applyNumberFormat="1" applyFont="1" applyFill="1" applyBorder="1"/>
    <xf numFmtId="0" fontId="44" fillId="0" borderId="1" xfId="2" applyFont="1" applyBorder="1"/>
    <xf numFmtId="164" fontId="44" fillId="0" borderId="1" xfId="2" applyNumberFormat="1" applyFont="1" applyBorder="1"/>
    <xf numFmtId="0" fontId="45" fillId="0" borderId="1" xfId="0" applyFont="1" applyBorder="1"/>
    <xf numFmtId="0" fontId="3" fillId="0" borderId="3" xfId="2" applyFont="1" applyBorder="1"/>
    <xf numFmtId="0" fontId="5" fillId="0" borderId="4" xfId="2" applyFont="1" applyBorder="1"/>
    <xf numFmtId="14" fontId="3" fillId="0" borderId="2" xfId="2" applyNumberFormat="1" applyFont="1" applyBorder="1"/>
    <xf numFmtId="0" fontId="27" fillId="0" borderId="1" xfId="0" applyFont="1" applyBorder="1"/>
    <xf numFmtId="0" fontId="46" fillId="0" borderId="1" xfId="2" applyFont="1" applyBorder="1"/>
    <xf numFmtId="14" fontId="17" fillId="0" borderId="1" xfId="2" applyNumberFormat="1" applyFont="1" applyBorder="1"/>
    <xf numFmtId="0" fontId="47" fillId="8" borderId="1" xfId="2" applyFont="1" applyFill="1" applyBorder="1"/>
    <xf numFmtId="164" fontId="41" fillId="8" borderId="1" xfId="3" applyNumberFormat="1" applyFont="1" applyFill="1" applyBorder="1"/>
    <xf numFmtId="0" fontId="42" fillId="0" borderId="1" xfId="2" applyFont="1" applyBorder="1"/>
    <xf numFmtId="0" fontId="48" fillId="0" borderId="1" xfId="0" applyFont="1" applyBorder="1" applyAlignment="1">
      <alignment vertical="center"/>
    </xf>
    <xf numFmtId="0" fontId="49" fillId="0" borderId="1" xfId="2" applyFont="1" applyBorder="1"/>
    <xf numFmtId="0" fontId="48" fillId="0" borderId="1" xfId="2" applyFont="1" applyBorder="1"/>
    <xf numFmtId="0" fontId="19" fillId="0" borderId="2" xfId="2" applyFont="1" applyBorder="1" applyAlignment="1">
      <alignment horizontal="center"/>
    </xf>
    <xf numFmtId="0" fontId="19" fillId="0" borderId="3" xfId="2" applyFont="1" applyBorder="1" applyAlignment="1">
      <alignment horizontal="center"/>
    </xf>
    <xf numFmtId="0" fontId="19" fillId="0" borderId="4" xfId="2" applyFont="1" applyBorder="1" applyAlignment="1">
      <alignment horizontal="center"/>
    </xf>
    <xf numFmtId="0" fontId="5" fillId="0" borderId="1" xfId="2" applyFont="1" applyBorder="1" applyAlignment="1">
      <alignment horizontal="center" vertical="center" textRotation="90" wrapText="1"/>
    </xf>
    <xf numFmtId="0" fontId="17" fillId="0" borderId="2" xfId="2" applyFont="1" applyBorder="1" applyAlignment="1">
      <alignment horizontal="center"/>
    </xf>
    <xf numFmtId="0" fontId="17" fillId="0" borderId="3" xfId="2" applyFont="1" applyBorder="1" applyAlignment="1">
      <alignment horizontal="center"/>
    </xf>
    <xf numFmtId="0" fontId="17" fillId="0" borderId="4" xfId="2" applyFont="1" applyBorder="1" applyAlignment="1">
      <alignment horizontal="center"/>
    </xf>
    <xf numFmtId="0" fontId="5" fillId="0" borderId="1" xfId="2" applyFont="1" applyBorder="1" applyAlignment="1">
      <alignment horizontal="center" wrapText="1"/>
    </xf>
    <xf numFmtId="0" fontId="5" fillId="0" borderId="1" xfId="2" applyFont="1" applyBorder="1" applyAlignment="1">
      <alignment horizontal="center"/>
    </xf>
    <xf numFmtId="0" fontId="5" fillId="0" borderId="5" xfId="2" applyFont="1" applyBorder="1" applyAlignment="1">
      <alignment horizontal="center" vertical="center" textRotation="90" wrapText="1"/>
    </xf>
    <xf numFmtId="0" fontId="5" fillId="0" borderId="6" xfId="2" applyFont="1" applyBorder="1" applyAlignment="1">
      <alignment horizontal="center" vertical="center" textRotation="90" wrapText="1"/>
    </xf>
    <xf numFmtId="0" fontId="5" fillId="0" borderId="7" xfId="2" applyFont="1" applyBorder="1" applyAlignment="1">
      <alignment horizontal="center" vertical="center" textRotation="90" wrapText="1"/>
    </xf>
    <xf numFmtId="0" fontId="3" fillId="0" borderId="1" xfId="2" applyFont="1" applyBorder="1" applyAlignment="1">
      <alignment horizontal="center"/>
    </xf>
    <xf numFmtId="0" fontId="22" fillId="0" borderId="2" xfId="2" applyFont="1" applyBorder="1" applyAlignment="1">
      <alignment horizontal="center"/>
    </xf>
    <xf numFmtId="0" fontId="22" fillId="0" borderId="3" xfId="2" applyFont="1" applyBorder="1" applyAlignment="1">
      <alignment horizontal="center"/>
    </xf>
    <xf numFmtId="0" fontId="22" fillId="0" borderId="4" xfId="2" applyFont="1" applyBorder="1" applyAlignment="1">
      <alignment horizontal="center"/>
    </xf>
    <xf numFmtId="0" fontId="19" fillId="0" borderId="1" xfId="2" applyFont="1" applyBorder="1" applyAlignment="1">
      <alignment horizont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4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textRotation="90"/>
    </xf>
    <xf numFmtId="0" fontId="27" fillId="0" borderId="2" xfId="2" applyFont="1" applyBorder="1" applyAlignment="1">
      <alignment horizontal="center"/>
    </xf>
    <xf numFmtId="0" fontId="27" fillId="0" borderId="3" xfId="2" applyFont="1" applyBorder="1" applyAlignment="1">
      <alignment horizontal="center"/>
    </xf>
    <xf numFmtId="0" fontId="27" fillId="0" borderId="4" xfId="2" applyFont="1" applyBorder="1" applyAlignment="1">
      <alignment horizontal="center"/>
    </xf>
    <xf numFmtId="0" fontId="10" fillId="0" borderId="1" xfId="2" applyFont="1" applyBorder="1" applyAlignment="1">
      <alignment horizontal="center" wrapText="1"/>
    </xf>
    <xf numFmtId="0" fontId="10" fillId="0" borderId="1" xfId="2" applyFont="1" applyBorder="1" applyAlignment="1">
      <alignment horizontal="center"/>
    </xf>
    <xf numFmtId="0" fontId="11" fillId="0" borderId="1" xfId="2" applyFont="1" applyBorder="1" applyAlignment="1">
      <alignment horizontal="center" wrapText="1"/>
    </xf>
    <xf numFmtId="0" fontId="11" fillId="0" borderId="1" xfId="2" applyFont="1" applyBorder="1" applyAlignment="1">
      <alignment horizontal="center"/>
    </xf>
    <xf numFmtId="0" fontId="5" fillId="0" borderId="2" xfId="2" applyFont="1" applyBorder="1" applyAlignment="1">
      <alignment horizontal="center" wrapText="1"/>
    </xf>
    <xf numFmtId="0" fontId="5" fillId="0" borderId="3" xfId="2" applyFont="1" applyBorder="1" applyAlignment="1">
      <alignment horizontal="center" wrapText="1"/>
    </xf>
    <xf numFmtId="0" fontId="5" fillId="0" borderId="4" xfId="2" applyFont="1" applyBorder="1" applyAlignment="1">
      <alignment horizontal="center" wrapText="1"/>
    </xf>
  </cellXfs>
  <cellStyles count="4">
    <cellStyle name="Normal" xfId="0" builtinId="0"/>
    <cellStyle name="Normal 2" xfId="2" xr:uid="{4D573B6E-F325-4A1E-B228-598CA1196A2D}"/>
    <cellStyle name="Virgül" xfId="1" builtinId="3"/>
    <cellStyle name="Virgül 2" xfId="3" xr:uid="{4E22E91C-8BEE-465D-8417-FA27B3850B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24F5A-768F-499E-9CA4-9DAFEF4BBAF5}">
  <dimension ref="A2:AJ39"/>
  <sheetViews>
    <sheetView zoomScale="115" zoomScaleNormal="115" workbookViewId="0">
      <pane xSplit="2" ySplit="4" topLeftCell="C7" activePane="bottomRight" state="frozen"/>
      <selection pane="topRight" activeCell="C1" sqref="C1"/>
      <selection pane="bottomLeft" activeCell="A5" sqref="A5"/>
      <selection pane="bottomRight" activeCell="C34" sqref="C34"/>
    </sheetView>
  </sheetViews>
  <sheetFormatPr defaultColWidth="9.07421875" defaultRowHeight="12" x14ac:dyDescent="0.35"/>
  <cols>
    <col min="1" max="1" width="2.765625" style="1" bestFit="1" customWidth="1"/>
    <col min="2" max="2" width="4.69140625" style="1" bestFit="1" customWidth="1"/>
    <col min="3" max="3" width="4.69140625" style="1" customWidth="1"/>
    <col min="4" max="4" width="25.3828125" style="1" bestFit="1" customWidth="1"/>
    <col min="5" max="5" width="6.23046875" style="2" bestFit="1" customWidth="1"/>
    <col min="6" max="6" width="4.15234375" style="1" bestFit="1" customWidth="1"/>
    <col min="7" max="7" width="9.3046875" style="1" bestFit="1" customWidth="1"/>
    <col min="8" max="9" width="8.61328125" style="1" bestFit="1" customWidth="1"/>
    <col min="10" max="10" width="6.3828125" style="1" bestFit="1" customWidth="1"/>
    <col min="11" max="11" width="6.53515625" style="1" bestFit="1" customWidth="1"/>
    <col min="12" max="12" width="5.921875" style="1" bestFit="1" customWidth="1"/>
    <col min="13" max="13" width="8.07421875" style="3" bestFit="1" customWidth="1"/>
    <col min="14" max="15" width="4.765625" style="1" customWidth="1"/>
    <col min="16" max="16" width="5.61328125" style="1" customWidth="1"/>
    <col min="17" max="17" width="4.61328125" style="1" bestFit="1" customWidth="1"/>
    <col min="18" max="18" width="5.53515625" style="1" customWidth="1"/>
    <col min="19" max="19" width="3.69140625" style="1" bestFit="1" customWidth="1"/>
    <col min="20" max="20" width="4.4609375" style="5" bestFit="1" customWidth="1"/>
    <col min="21" max="21" width="3.69140625" style="1" bestFit="1" customWidth="1"/>
    <col min="22" max="22" width="4.4609375" style="5" bestFit="1" customWidth="1"/>
    <col min="23" max="23" width="3.69140625" style="1" bestFit="1" customWidth="1"/>
    <col min="24" max="24" width="5.921875" style="5" bestFit="1" customWidth="1"/>
    <col min="25" max="25" width="3.69140625" style="1" bestFit="1" customWidth="1"/>
    <col min="26" max="26" width="5.921875" style="5" bestFit="1" customWidth="1"/>
    <col min="27" max="27" width="5.23046875" style="1" bestFit="1" customWidth="1"/>
    <col min="28" max="28" width="5.15234375" style="1" customWidth="1"/>
    <col min="29" max="29" width="6.69140625" style="5" bestFit="1" customWidth="1"/>
    <col min="30" max="30" width="6.3828125" style="1" bestFit="1" customWidth="1"/>
    <col min="31" max="31" width="5.15234375" style="1" customWidth="1"/>
    <col min="32" max="32" width="6.69140625" style="5" bestFit="1" customWidth="1"/>
    <col min="33" max="33" width="7.921875" style="1" bestFit="1" customWidth="1"/>
    <col min="34" max="34" width="8.69140625" style="1" bestFit="1" customWidth="1"/>
    <col min="35" max="35" width="49.4609375" style="1" bestFit="1" customWidth="1"/>
    <col min="36" max="16384" width="9.07421875" style="1"/>
  </cols>
  <sheetData>
    <row r="2" spans="1:36" x14ac:dyDescent="0.35">
      <c r="N2" s="4" t="s">
        <v>0</v>
      </c>
      <c r="O2" s="4"/>
      <c r="P2" s="4"/>
      <c r="Q2" s="4"/>
      <c r="R2" s="4"/>
    </row>
    <row r="3" spans="1:36" ht="24" x14ac:dyDescent="0.35">
      <c r="A3" s="125"/>
      <c r="B3" s="155"/>
      <c r="C3" s="155"/>
      <c r="D3" s="155"/>
      <c r="E3" s="10"/>
      <c r="F3" s="9"/>
      <c r="G3" s="159"/>
      <c r="H3" s="159"/>
      <c r="I3" s="159"/>
      <c r="J3" s="159"/>
      <c r="K3" s="159"/>
      <c r="L3" s="159"/>
      <c r="M3" s="159"/>
      <c r="N3" s="159"/>
      <c r="O3" s="11"/>
      <c r="P3" s="11"/>
      <c r="Q3" s="11"/>
      <c r="R3" s="11"/>
      <c r="S3" s="155" t="s">
        <v>2</v>
      </c>
      <c r="T3" s="155"/>
      <c r="U3" s="155" t="s">
        <v>2</v>
      </c>
      <c r="V3" s="155"/>
      <c r="W3" s="155" t="s">
        <v>3</v>
      </c>
      <c r="X3" s="155"/>
      <c r="Y3" s="155" t="s">
        <v>3</v>
      </c>
      <c r="Z3" s="155"/>
      <c r="AA3" s="154" t="s">
        <v>172</v>
      </c>
      <c r="AB3" s="154"/>
      <c r="AC3" s="154"/>
      <c r="AD3" s="154" t="s">
        <v>173</v>
      </c>
      <c r="AE3" s="154"/>
      <c r="AF3" s="154"/>
      <c r="AG3" s="14"/>
      <c r="AH3" s="15" t="s">
        <v>16</v>
      </c>
    </row>
    <row r="4" spans="1:36" ht="36" x14ac:dyDescent="0.35">
      <c r="A4" s="125"/>
      <c r="B4" s="155"/>
      <c r="C4" s="155"/>
      <c r="D4" s="155"/>
      <c r="E4" s="10" t="s">
        <v>174</v>
      </c>
      <c r="F4" s="18" t="s">
        <v>20</v>
      </c>
      <c r="G4" s="19" t="s">
        <v>21</v>
      </c>
      <c r="H4" s="15" t="s">
        <v>22</v>
      </c>
      <c r="I4" s="15" t="s">
        <v>23</v>
      </c>
      <c r="J4" s="15" t="s">
        <v>24</v>
      </c>
      <c r="K4" s="15" t="s">
        <v>25</v>
      </c>
      <c r="L4" s="15" t="s">
        <v>26</v>
      </c>
      <c r="M4" s="15" t="s">
        <v>27</v>
      </c>
      <c r="N4" s="20" t="s">
        <v>28</v>
      </c>
      <c r="O4" s="22" t="s">
        <v>175</v>
      </c>
      <c r="P4" s="22" t="s">
        <v>176</v>
      </c>
      <c r="Q4" s="22" t="s">
        <v>177</v>
      </c>
      <c r="R4" s="22" t="s">
        <v>178</v>
      </c>
      <c r="S4" s="15" t="s">
        <v>29</v>
      </c>
      <c r="T4" s="21" t="s">
        <v>30</v>
      </c>
      <c r="U4" s="15" t="s">
        <v>29</v>
      </c>
      <c r="V4" s="126" t="s">
        <v>179</v>
      </c>
      <c r="W4" s="15" t="s">
        <v>29</v>
      </c>
      <c r="X4" s="21" t="s">
        <v>30</v>
      </c>
      <c r="Y4" s="15" t="s">
        <v>29</v>
      </c>
      <c r="Z4" s="126" t="s">
        <v>179</v>
      </c>
      <c r="AA4" s="127" t="s">
        <v>31</v>
      </c>
      <c r="AB4" s="15" t="s">
        <v>29</v>
      </c>
      <c r="AC4" s="21" t="s">
        <v>30</v>
      </c>
      <c r="AD4" s="127" t="s">
        <v>31</v>
      </c>
      <c r="AE4" s="15" t="s">
        <v>29</v>
      </c>
      <c r="AF4" s="126" t="s">
        <v>179</v>
      </c>
      <c r="AG4" s="19" t="s">
        <v>34</v>
      </c>
      <c r="AH4" s="155"/>
      <c r="AI4" s="1" t="s">
        <v>36</v>
      </c>
    </row>
    <row r="5" spans="1:36" ht="13.2" customHeight="1" x14ac:dyDescent="0.35">
      <c r="A5" s="82">
        <v>1</v>
      </c>
      <c r="B5" s="150" t="s">
        <v>56</v>
      </c>
      <c r="C5" s="156" t="s">
        <v>222</v>
      </c>
      <c r="D5" s="128" t="s">
        <v>180</v>
      </c>
      <c r="E5" s="30" t="s">
        <v>181</v>
      </c>
      <c r="F5" s="129" t="s">
        <v>39</v>
      </c>
      <c r="G5" s="31" t="s">
        <v>84</v>
      </c>
      <c r="H5" s="130">
        <v>45602</v>
      </c>
      <c r="I5" s="130">
        <v>45684</v>
      </c>
      <c r="J5" s="82" t="s">
        <v>53</v>
      </c>
      <c r="K5" s="82"/>
      <c r="L5" s="82"/>
      <c r="M5" s="29">
        <v>37</v>
      </c>
      <c r="N5" s="36"/>
      <c r="O5" s="36"/>
      <c r="P5" s="36"/>
      <c r="Q5" s="36"/>
      <c r="R5" s="36"/>
      <c r="S5" s="82"/>
      <c r="T5" s="48"/>
      <c r="U5" s="82"/>
      <c r="V5" s="131"/>
      <c r="W5" s="82"/>
      <c r="X5" s="48"/>
      <c r="Y5" s="82"/>
      <c r="Z5" s="131"/>
      <c r="AA5" s="132">
        <f>M5-AB5</f>
        <v>0</v>
      </c>
      <c r="AB5" s="47">
        <v>37</v>
      </c>
      <c r="AC5" s="48">
        <f>AB5*L5</f>
        <v>0</v>
      </c>
      <c r="AD5" s="133">
        <f>O5-P5</f>
        <v>0</v>
      </c>
      <c r="AE5" s="47">
        <f>V5+Z5</f>
        <v>0</v>
      </c>
      <c r="AF5" s="131">
        <f>AE5</f>
        <v>0</v>
      </c>
      <c r="AG5" s="11"/>
      <c r="AH5" s="155"/>
    </row>
    <row r="6" spans="1:36" x14ac:dyDescent="0.35">
      <c r="A6" s="82">
        <v>2</v>
      </c>
      <c r="B6" s="150"/>
      <c r="C6" s="157"/>
      <c r="D6" s="128" t="s">
        <v>182</v>
      </c>
      <c r="E6" s="30" t="s">
        <v>183</v>
      </c>
      <c r="F6" s="129" t="s">
        <v>39</v>
      </c>
      <c r="G6" s="31" t="s">
        <v>84</v>
      </c>
      <c r="H6" s="130">
        <v>45568</v>
      </c>
      <c r="I6" s="130">
        <v>45684</v>
      </c>
      <c r="J6" s="82" t="s">
        <v>53</v>
      </c>
      <c r="K6" s="82"/>
      <c r="L6" s="82"/>
      <c r="M6" s="19">
        <v>42</v>
      </c>
      <c r="N6" s="82"/>
      <c r="O6" s="82"/>
      <c r="P6" s="82"/>
      <c r="Q6" s="82"/>
      <c r="R6" s="82"/>
      <c r="S6" s="82"/>
      <c r="T6" s="48"/>
      <c r="U6" s="82"/>
      <c r="V6" s="131"/>
      <c r="W6" s="82"/>
      <c r="X6" s="48"/>
      <c r="Y6" s="82"/>
      <c r="Z6" s="131"/>
      <c r="AA6" s="132">
        <f t="shared" ref="AA6:AA23" si="0">M6-AB6</f>
        <v>0</v>
      </c>
      <c r="AB6" s="82">
        <v>42</v>
      </c>
      <c r="AC6" s="48"/>
      <c r="AD6" s="132"/>
      <c r="AE6" s="82"/>
      <c r="AF6" s="131"/>
      <c r="AG6" s="82"/>
      <c r="AH6" s="82"/>
    </row>
    <row r="7" spans="1:36" x14ac:dyDescent="0.35">
      <c r="A7" s="82">
        <v>3</v>
      </c>
      <c r="B7" s="150"/>
      <c r="C7" s="157"/>
      <c r="D7" s="128" t="s">
        <v>184</v>
      </c>
      <c r="E7" s="30" t="s">
        <v>183</v>
      </c>
      <c r="F7" s="129" t="s">
        <v>39</v>
      </c>
      <c r="G7" s="31" t="s">
        <v>84</v>
      </c>
      <c r="H7" s="130">
        <v>45555</v>
      </c>
      <c r="I7" s="130">
        <v>45684</v>
      </c>
      <c r="J7" s="82" t="s">
        <v>53</v>
      </c>
      <c r="K7" s="82"/>
      <c r="L7" s="82"/>
      <c r="M7" s="19">
        <v>39</v>
      </c>
      <c r="N7" s="82"/>
      <c r="O7" s="82">
        <v>200</v>
      </c>
      <c r="P7" s="82"/>
      <c r="Q7" s="82"/>
      <c r="R7" s="82"/>
      <c r="S7" s="82"/>
      <c r="T7" s="48"/>
      <c r="U7" s="82"/>
      <c r="V7" s="131"/>
      <c r="W7" s="82"/>
      <c r="X7" s="48"/>
      <c r="Y7" s="82"/>
      <c r="Z7" s="131"/>
      <c r="AA7" s="132">
        <f t="shared" si="0"/>
        <v>0</v>
      </c>
      <c r="AB7" s="82">
        <v>39</v>
      </c>
      <c r="AC7" s="48"/>
      <c r="AD7" s="132" t="e">
        <f>O7-AE7</f>
        <v>#VALUE!</v>
      </c>
      <c r="AE7" s="82" t="s">
        <v>185</v>
      </c>
      <c r="AF7" s="131"/>
      <c r="AG7" s="82"/>
      <c r="AH7" s="82"/>
    </row>
    <row r="8" spans="1:36" s="5" customFormat="1" x14ac:dyDescent="0.35">
      <c r="A8" s="82">
        <v>4</v>
      </c>
      <c r="B8" s="150"/>
      <c r="C8" s="157"/>
      <c r="D8" s="128" t="s">
        <v>186</v>
      </c>
      <c r="E8" s="30" t="s">
        <v>183</v>
      </c>
      <c r="F8" s="129" t="s">
        <v>39</v>
      </c>
      <c r="G8" s="31" t="s">
        <v>84</v>
      </c>
      <c r="H8" s="130">
        <v>45579</v>
      </c>
      <c r="I8" s="130">
        <v>45684</v>
      </c>
      <c r="J8" s="82" t="s">
        <v>53</v>
      </c>
      <c r="K8" s="82"/>
      <c r="L8" s="82"/>
      <c r="M8" s="19">
        <v>2</v>
      </c>
      <c r="N8" s="82"/>
      <c r="O8" s="82">
        <v>450</v>
      </c>
      <c r="P8" s="82"/>
      <c r="Q8" s="82"/>
      <c r="R8" s="82"/>
      <c r="S8" s="82"/>
      <c r="T8" s="48"/>
      <c r="U8" s="82"/>
      <c r="V8" s="131"/>
      <c r="W8" s="82"/>
      <c r="X8" s="48"/>
      <c r="Y8" s="82"/>
      <c r="Z8" s="131"/>
      <c r="AA8" s="132">
        <f t="shared" si="0"/>
        <v>0</v>
      </c>
      <c r="AB8" s="82">
        <v>2</v>
      </c>
      <c r="AC8" s="48"/>
      <c r="AD8" s="132">
        <f>O8-AE8</f>
        <v>100</v>
      </c>
      <c r="AE8" s="82">
        <v>350</v>
      </c>
      <c r="AF8" s="131"/>
      <c r="AG8" s="82"/>
      <c r="AH8" s="82"/>
      <c r="AI8" s="1"/>
      <c r="AJ8" s="1"/>
    </row>
    <row r="9" spans="1:36" s="5" customFormat="1" x14ac:dyDescent="0.35">
      <c r="A9" s="82">
        <v>5</v>
      </c>
      <c r="B9" s="150"/>
      <c r="C9" s="157"/>
      <c r="D9" s="128" t="s">
        <v>187</v>
      </c>
      <c r="E9" s="30" t="s">
        <v>183</v>
      </c>
      <c r="F9" s="129" t="s">
        <v>39</v>
      </c>
      <c r="G9" s="31" t="s">
        <v>84</v>
      </c>
      <c r="H9" s="130">
        <v>45558</v>
      </c>
      <c r="I9" s="130">
        <v>45684</v>
      </c>
      <c r="J9" s="82" t="s">
        <v>53</v>
      </c>
      <c r="K9" s="82"/>
      <c r="L9" s="82"/>
      <c r="M9" s="19">
        <v>19</v>
      </c>
      <c r="N9" s="82"/>
      <c r="O9" s="82">
        <v>282</v>
      </c>
      <c r="P9" s="82"/>
      <c r="Q9" s="82"/>
      <c r="R9" s="82"/>
      <c r="S9" s="82"/>
      <c r="T9" s="48"/>
      <c r="U9" s="82"/>
      <c r="V9" s="131"/>
      <c r="W9" s="82"/>
      <c r="X9" s="48"/>
      <c r="Y9" s="82"/>
      <c r="Z9" s="131"/>
      <c r="AA9" s="132">
        <f t="shared" si="0"/>
        <v>-3</v>
      </c>
      <c r="AB9" s="82">
        <v>22</v>
      </c>
      <c r="AC9" s="48"/>
      <c r="AD9" s="132" t="e">
        <f>O9-AE9</f>
        <v>#VALUE!</v>
      </c>
      <c r="AE9" s="82" t="s">
        <v>185</v>
      </c>
      <c r="AF9" s="131"/>
      <c r="AG9" s="82"/>
      <c r="AH9" s="82"/>
      <c r="AI9" s="1"/>
      <c r="AJ9" s="1"/>
    </row>
    <row r="10" spans="1:36" s="5" customFormat="1" x14ac:dyDescent="0.35">
      <c r="A10" s="82">
        <v>6</v>
      </c>
      <c r="B10" s="150"/>
      <c r="C10" s="157"/>
      <c r="D10" s="134" t="s">
        <v>188</v>
      </c>
      <c r="E10" s="30" t="s">
        <v>183</v>
      </c>
      <c r="F10" s="129" t="s">
        <v>39</v>
      </c>
      <c r="G10" s="31" t="s">
        <v>84</v>
      </c>
      <c r="H10" s="130">
        <v>45593</v>
      </c>
      <c r="I10" s="130">
        <v>45684</v>
      </c>
      <c r="J10" s="82" t="s">
        <v>53</v>
      </c>
      <c r="K10" s="82"/>
      <c r="L10" s="82"/>
      <c r="M10" s="19">
        <v>21</v>
      </c>
      <c r="N10" s="82"/>
      <c r="O10" s="82"/>
      <c r="P10" s="82"/>
      <c r="Q10" s="82"/>
      <c r="R10" s="82"/>
      <c r="S10" s="82"/>
      <c r="T10" s="48"/>
      <c r="U10" s="82"/>
      <c r="V10" s="131"/>
      <c r="W10" s="82"/>
      <c r="X10" s="48"/>
      <c r="Y10" s="82"/>
      <c r="Z10" s="131"/>
      <c r="AA10" s="132">
        <f t="shared" si="0"/>
        <v>-3</v>
      </c>
      <c r="AB10" s="82">
        <v>24</v>
      </c>
      <c r="AC10" s="48"/>
      <c r="AD10" s="132"/>
      <c r="AE10" s="82"/>
      <c r="AF10" s="131"/>
      <c r="AG10" s="82"/>
      <c r="AH10" s="82"/>
      <c r="AI10" s="1"/>
      <c r="AJ10" s="1"/>
    </row>
    <row r="11" spans="1:36" x14ac:dyDescent="0.35">
      <c r="A11" s="82">
        <v>7</v>
      </c>
      <c r="B11" s="150"/>
      <c r="C11" s="157"/>
      <c r="D11" s="134" t="s">
        <v>189</v>
      </c>
      <c r="E11" s="30" t="s">
        <v>181</v>
      </c>
      <c r="F11" s="129" t="s">
        <v>39</v>
      </c>
      <c r="G11" s="31" t="s">
        <v>84</v>
      </c>
      <c r="H11" s="130">
        <v>45612</v>
      </c>
      <c r="I11" s="130">
        <v>45684</v>
      </c>
      <c r="J11" s="82" t="s">
        <v>190</v>
      </c>
      <c r="K11" s="82"/>
      <c r="L11" s="82"/>
      <c r="M11" s="19">
        <v>69</v>
      </c>
      <c r="N11" s="82"/>
      <c r="O11" s="82"/>
      <c r="P11" s="82"/>
      <c r="Q11" s="82"/>
      <c r="R11" s="82"/>
      <c r="S11" s="82"/>
      <c r="T11" s="48"/>
      <c r="U11" s="82"/>
      <c r="V11" s="131"/>
      <c r="W11" s="82"/>
      <c r="X11" s="48"/>
      <c r="Y11" s="82"/>
      <c r="Z11" s="131"/>
      <c r="AA11" s="132">
        <f t="shared" si="0"/>
        <v>0</v>
      </c>
      <c r="AB11" s="82">
        <v>69</v>
      </c>
      <c r="AC11" s="48"/>
      <c r="AD11" s="132"/>
      <c r="AE11" s="82"/>
      <c r="AF11" s="131"/>
      <c r="AG11" s="82"/>
      <c r="AH11" s="82"/>
    </row>
    <row r="12" spans="1:36" x14ac:dyDescent="0.35">
      <c r="A12" s="82"/>
      <c r="B12" s="150"/>
      <c r="C12" s="157"/>
      <c r="D12" s="134" t="s">
        <v>191</v>
      </c>
      <c r="E12" s="30" t="s">
        <v>181</v>
      </c>
      <c r="F12" s="129" t="s">
        <v>192</v>
      </c>
      <c r="G12" s="31" t="s">
        <v>84</v>
      </c>
      <c r="H12" s="130">
        <v>45635</v>
      </c>
      <c r="I12" s="130">
        <v>45684</v>
      </c>
      <c r="J12" s="135" t="s">
        <v>53</v>
      </c>
      <c r="K12" s="135"/>
      <c r="L12" s="135"/>
      <c r="M12" s="136"/>
      <c r="N12" s="82"/>
      <c r="O12" s="82">
        <v>360</v>
      </c>
      <c r="P12" s="82"/>
      <c r="Q12" s="82"/>
      <c r="R12" s="82"/>
      <c r="S12" s="82"/>
      <c r="T12" s="48"/>
      <c r="U12" s="82"/>
      <c r="V12" s="131"/>
      <c r="W12" s="82"/>
      <c r="X12" s="48"/>
      <c r="Y12" s="82"/>
      <c r="Z12" s="131"/>
      <c r="AA12" s="132">
        <f t="shared" si="0"/>
        <v>0</v>
      </c>
      <c r="AB12" s="82"/>
      <c r="AC12" s="48"/>
      <c r="AD12" s="132">
        <f>O12-AE12</f>
        <v>0</v>
      </c>
      <c r="AE12" s="82">
        <v>360</v>
      </c>
      <c r="AF12" s="131"/>
      <c r="AG12" s="82"/>
      <c r="AH12" s="82"/>
    </row>
    <row r="13" spans="1:36" x14ac:dyDescent="0.35">
      <c r="A13" s="82"/>
      <c r="B13" s="150"/>
      <c r="C13" s="158"/>
      <c r="D13" s="134" t="s">
        <v>193</v>
      </c>
      <c r="E13" s="30"/>
      <c r="F13" s="129"/>
      <c r="G13" s="31"/>
      <c r="H13" s="130"/>
      <c r="I13" s="137"/>
      <c r="J13" s="135"/>
      <c r="K13" s="135"/>
      <c r="L13" s="135"/>
      <c r="M13" s="136"/>
      <c r="N13" s="82"/>
      <c r="O13" s="82">
        <v>250</v>
      </c>
      <c r="P13" s="82"/>
      <c r="Q13" s="82"/>
      <c r="R13" s="82"/>
      <c r="S13" s="82"/>
      <c r="T13" s="48"/>
      <c r="U13" s="82"/>
      <c r="V13" s="131"/>
      <c r="W13" s="82"/>
      <c r="X13" s="48"/>
      <c r="Y13" s="82"/>
      <c r="Z13" s="131"/>
      <c r="AA13" s="132"/>
      <c r="AB13" s="82"/>
      <c r="AC13" s="48"/>
      <c r="AD13" s="132">
        <f>O13-AE13</f>
        <v>0</v>
      </c>
      <c r="AE13" s="82">
        <v>250</v>
      </c>
      <c r="AF13" s="131"/>
      <c r="AG13" s="82"/>
      <c r="AH13" s="82"/>
    </row>
    <row r="14" spans="1:36" x14ac:dyDescent="0.35">
      <c r="A14" s="82"/>
      <c r="B14" s="150"/>
      <c r="C14" s="156" t="s">
        <v>223</v>
      </c>
      <c r="D14" s="134" t="s">
        <v>194</v>
      </c>
      <c r="E14" s="30"/>
      <c r="F14" s="129"/>
      <c r="G14" s="31"/>
      <c r="H14" s="130"/>
      <c r="I14" s="137"/>
      <c r="J14" s="135"/>
      <c r="K14" s="135"/>
      <c r="L14" s="135"/>
      <c r="M14" s="136">
        <v>7</v>
      </c>
      <c r="N14" s="82"/>
      <c r="O14" s="82"/>
      <c r="P14" s="82"/>
      <c r="Q14" s="82"/>
      <c r="R14" s="82"/>
      <c r="S14" s="82"/>
      <c r="T14" s="48"/>
      <c r="U14" s="82"/>
      <c r="V14" s="131"/>
      <c r="W14" s="82"/>
      <c r="X14" s="48"/>
      <c r="Y14" s="82"/>
      <c r="Z14" s="131"/>
      <c r="AA14" s="132">
        <f t="shared" si="0"/>
        <v>0</v>
      </c>
      <c r="AB14" s="82">
        <v>7</v>
      </c>
      <c r="AC14" s="48"/>
      <c r="AD14" s="132"/>
      <c r="AE14" s="82"/>
      <c r="AF14" s="131"/>
      <c r="AG14" s="82"/>
      <c r="AH14" s="82"/>
    </row>
    <row r="15" spans="1:36" x14ac:dyDescent="0.35">
      <c r="A15" s="82"/>
      <c r="B15" s="150"/>
      <c r="C15" s="157"/>
      <c r="D15" s="138" t="s">
        <v>195</v>
      </c>
      <c r="E15" s="30"/>
      <c r="F15" s="139" t="s">
        <v>39</v>
      </c>
      <c r="G15" s="93" t="s">
        <v>84</v>
      </c>
      <c r="H15" s="140">
        <v>45560</v>
      </c>
      <c r="I15" s="151" t="s">
        <v>196</v>
      </c>
      <c r="J15" s="152"/>
      <c r="K15" s="152"/>
      <c r="L15" s="152"/>
      <c r="M15" s="153"/>
      <c r="N15" s="37"/>
      <c r="O15" s="37"/>
      <c r="P15" s="37"/>
      <c r="Q15" s="37"/>
      <c r="R15" s="37"/>
      <c r="S15" s="37"/>
      <c r="T15" s="48"/>
      <c r="U15" s="37"/>
      <c r="V15" s="131"/>
      <c r="W15" s="82"/>
      <c r="X15" s="48"/>
      <c r="Y15" s="82"/>
      <c r="Z15" s="131"/>
      <c r="AA15" s="132">
        <f t="shared" si="0"/>
        <v>0</v>
      </c>
      <c r="AB15" s="82"/>
      <c r="AC15" s="48"/>
      <c r="AD15" s="132"/>
      <c r="AE15" s="82"/>
      <c r="AF15" s="131"/>
      <c r="AG15" s="82"/>
      <c r="AH15" s="82"/>
    </row>
    <row r="16" spans="1:36" x14ac:dyDescent="0.35">
      <c r="A16" s="82">
        <v>8</v>
      </c>
      <c r="B16" s="150"/>
      <c r="C16" s="157"/>
      <c r="D16" s="128" t="s">
        <v>197</v>
      </c>
      <c r="E16" s="30" t="s">
        <v>181</v>
      </c>
      <c r="F16" s="129" t="s">
        <v>39</v>
      </c>
      <c r="G16" s="82" t="s">
        <v>198</v>
      </c>
      <c r="H16" s="130">
        <v>45559</v>
      </c>
      <c r="I16" s="130">
        <v>45352</v>
      </c>
      <c r="J16" s="82" t="s">
        <v>199</v>
      </c>
      <c r="K16" s="82"/>
      <c r="L16" s="82"/>
      <c r="M16" s="19">
        <v>38</v>
      </c>
      <c r="N16" s="82"/>
      <c r="O16" s="82">
        <v>95</v>
      </c>
      <c r="P16" s="82"/>
      <c r="Q16" s="82"/>
      <c r="R16" s="82"/>
      <c r="S16" s="82"/>
      <c r="T16" s="48"/>
      <c r="U16" s="82"/>
      <c r="V16" s="131"/>
      <c r="W16" s="82"/>
      <c r="X16" s="48"/>
      <c r="Y16" s="82"/>
      <c r="Z16" s="131"/>
      <c r="AA16" s="132">
        <f t="shared" si="0"/>
        <v>1</v>
      </c>
      <c r="AB16" s="82">
        <v>37</v>
      </c>
      <c r="AC16" s="48"/>
      <c r="AD16" s="132">
        <f>O16-AE16</f>
        <v>0</v>
      </c>
      <c r="AE16" s="82">
        <v>95</v>
      </c>
      <c r="AF16" s="131"/>
      <c r="AG16" s="82"/>
      <c r="AH16" s="82"/>
    </row>
    <row r="17" spans="1:34" x14ac:dyDescent="0.35">
      <c r="A17" s="82">
        <v>9</v>
      </c>
      <c r="B17" s="150"/>
      <c r="C17" s="157"/>
      <c r="D17" s="128" t="s">
        <v>200</v>
      </c>
      <c r="E17" s="30" t="s">
        <v>181</v>
      </c>
      <c r="F17" s="129" t="s">
        <v>39</v>
      </c>
      <c r="G17" s="82" t="s">
        <v>198</v>
      </c>
      <c r="H17" s="130">
        <v>45565</v>
      </c>
      <c r="I17" s="130">
        <v>45352</v>
      </c>
      <c r="J17" s="82" t="s">
        <v>199</v>
      </c>
      <c r="K17" s="82"/>
      <c r="L17" s="82"/>
      <c r="M17" s="19">
        <v>84</v>
      </c>
      <c r="N17" s="82"/>
      <c r="O17" s="82"/>
      <c r="P17" s="82"/>
      <c r="Q17" s="82"/>
      <c r="R17" s="82"/>
      <c r="S17" s="82"/>
      <c r="T17" s="48"/>
      <c r="U17" s="82"/>
      <c r="V17" s="131"/>
      <c r="W17" s="82"/>
      <c r="X17" s="48"/>
      <c r="Y17" s="82"/>
      <c r="Z17" s="131"/>
      <c r="AA17" s="132">
        <f t="shared" si="0"/>
        <v>1</v>
      </c>
      <c r="AB17" s="82">
        <v>83</v>
      </c>
      <c r="AC17" s="48"/>
      <c r="AD17" s="132"/>
      <c r="AE17" s="82"/>
      <c r="AF17" s="131"/>
      <c r="AG17" s="82"/>
      <c r="AH17" s="82"/>
    </row>
    <row r="18" spans="1:34" x14ac:dyDescent="0.35">
      <c r="A18" s="82">
        <v>10</v>
      </c>
      <c r="B18" s="150"/>
      <c r="C18" s="157"/>
      <c r="D18" s="128" t="s">
        <v>201</v>
      </c>
      <c r="E18" s="30" t="s">
        <v>181</v>
      </c>
      <c r="F18" s="129" t="s">
        <v>39</v>
      </c>
      <c r="G18" s="82" t="s">
        <v>198</v>
      </c>
      <c r="H18" s="130">
        <v>45583</v>
      </c>
      <c r="I18" s="130">
        <v>45352</v>
      </c>
      <c r="J18" s="82" t="s">
        <v>199</v>
      </c>
      <c r="K18" s="82"/>
      <c r="L18" s="82"/>
      <c r="M18" s="19">
        <v>26</v>
      </c>
      <c r="N18" s="82"/>
      <c r="O18" s="82"/>
      <c r="P18" s="82"/>
      <c r="Q18" s="82"/>
      <c r="R18" s="82"/>
      <c r="S18" s="82"/>
      <c r="T18" s="48"/>
      <c r="U18" s="82"/>
      <c r="V18" s="131"/>
      <c r="W18" s="82"/>
      <c r="X18" s="48"/>
      <c r="Y18" s="82"/>
      <c r="Z18" s="131"/>
      <c r="AA18" s="132">
        <f t="shared" si="0"/>
        <v>0</v>
      </c>
      <c r="AB18" s="82">
        <v>26</v>
      </c>
      <c r="AC18" s="48"/>
      <c r="AD18" s="132"/>
      <c r="AE18" s="82"/>
      <c r="AF18" s="131"/>
      <c r="AG18" s="82"/>
      <c r="AH18" s="82"/>
    </row>
    <row r="19" spans="1:34" x14ac:dyDescent="0.35">
      <c r="A19" s="82">
        <v>11</v>
      </c>
      <c r="B19" s="150"/>
      <c r="C19" s="157"/>
      <c r="D19" s="128" t="s">
        <v>202</v>
      </c>
      <c r="E19" s="30" t="s">
        <v>181</v>
      </c>
      <c r="F19" s="129" t="s">
        <v>39</v>
      </c>
      <c r="G19" s="82" t="s">
        <v>198</v>
      </c>
      <c r="H19" s="130">
        <v>45556</v>
      </c>
      <c r="I19" s="130">
        <v>45352</v>
      </c>
      <c r="J19" s="82" t="s">
        <v>199</v>
      </c>
      <c r="K19" s="82"/>
      <c r="L19" s="82"/>
      <c r="M19" s="19">
        <v>28</v>
      </c>
      <c r="N19" s="82"/>
      <c r="O19" s="82">
        <v>148</v>
      </c>
      <c r="P19" s="82"/>
      <c r="Q19" s="82"/>
      <c r="R19" s="82"/>
      <c r="S19" s="82"/>
      <c r="T19" s="48"/>
      <c r="U19" s="82"/>
      <c r="V19" s="131"/>
      <c r="W19" s="82"/>
      <c r="X19" s="48"/>
      <c r="Y19" s="82"/>
      <c r="Z19" s="131"/>
      <c r="AA19" s="132">
        <f t="shared" si="0"/>
        <v>1</v>
      </c>
      <c r="AB19" s="82">
        <v>27</v>
      </c>
      <c r="AC19" s="48"/>
      <c r="AD19" s="132" t="e">
        <f>O19-AE19</f>
        <v>#VALUE!</v>
      </c>
      <c r="AE19" s="82" t="s">
        <v>185</v>
      </c>
      <c r="AF19" s="131"/>
      <c r="AG19" s="82"/>
      <c r="AH19" s="82"/>
    </row>
    <row r="20" spans="1:34" x14ac:dyDescent="0.35">
      <c r="A20" s="82">
        <v>12</v>
      </c>
      <c r="B20" s="150"/>
      <c r="C20" s="157"/>
      <c r="D20" s="128" t="s">
        <v>203</v>
      </c>
      <c r="E20" s="30" t="s">
        <v>181</v>
      </c>
      <c r="F20" s="129" t="s">
        <v>39</v>
      </c>
      <c r="G20" s="82" t="s">
        <v>198</v>
      </c>
      <c r="H20" s="130">
        <v>45586</v>
      </c>
      <c r="I20" s="130">
        <v>45352</v>
      </c>
      <c r="J20" s="82" t="s">
        <v>199</v>
      </c>
      <c r="K20" s="82"/>
      <c r="L20" s="82"/>
      <c r="M20" s="19">
        <v>35</v>
      </c>
      <c r="N20" s="82"/>
      <c r="O20" s="82"/>
      <c r="P20" s="82"/>
      <c r="Q20" s="82"/>
      <c r="R20" s="82"/>
      <c r="S20" s="82"/>
      <c r="T20" s="48"/>
      <c r="U20" s="82"/>
      <c r="V20" s="131"/>
      <c r="W20" s="82"/>
      <c r="X20" s="48"/>
      <c r="Y20" s="82"/>
      <c r="Z20" s="131"/>
      <c r="AA20" s="132">
        <f t="shared" si="0"/>
        <v>0</v>
      </c>
      <c r="AB20" s="82">
        <v>35</v>
      </c>
      <c r="AC20" s="48"/>
      <c r="AD20" s="132"/>
      <c r="AE20" s="82"/>
      <c r="AF20" s="131"/>
      <c r="AG20" s="82"/>
      <c r="AH20" s="82"/>
    </row>
    <row r="21" spans="1:34" x14ac:dyDescent="0.35">
      <c r="A21" s="82">
        <v>13</v>
      </c>
      <c r="B21" s="150"/>
      <c r="C21" s="157"/>
      <c r="D21" s="128" t="s">
        <v>204</v>
      </c>
      <c r="E21" s="30" t="s">
        <v>181</v>
      </c>
      <c r="F21" s="129" t="s">
        <v>39</v>
      </c>
      <c r="G21" s="82" t="s">
        <v>198</v>
      </c>
      <c r="H21" s="82"/>
      <c r="I21" s="130">
        <v>45352</v>
      </c>
      <c r="J21" s="82" t="s">
        <v>199</v>
      </c>
      <c r="K21" s="82"/>
      <c r="L21" s="82"/>
      <c r="M21" s="19">
        <v>71</v>
      </c>
      <c r="N21" s="82"/>
      <c r="O21" s="82"/>
      <c r="P21" s="82"/>
      <c r="Q21" s="82"/>
      <c r="R21" s="82"/>
      <c r="S21" s="82"/>
      <c r="T21" s="48"/>
      <c r="U21" s="82"/>
      <c r="V21" s="131"/>
      <c r="W21" s="82"/>
      <c r="X21" s="48"/>
      <c r="Y21" s="82"/>
      <c r="Z21" s="131"/>
      <c r="AA21" s="132">
        <f t="shared" si="0"/>
        <v>0</v>
      </c>
      <c r="AB21" s="82">
        <v>71</v>
      </c>
      <c r="AC21" s="48"/>
      <c r="AD21" s="132"/>
      <c r="AE21" s="82"/>
      <c r="AF21" s="131"/>
      <c r="AG21" s="82"/>
      <c r="AH21" s="82"/>
    </row>
    <row r="22" spans="1:34" x14ac:dyDescent="0.35">
      <c r="A22" s="82">
        <v>14</v>
      </c>
      <c r="B22" s="150"/>
      <c r="C22" s="157"/>
      <c r="D22" s="128" t="s">
        <v>205</v>
      </c>
      <c r="E22" s="30" t="s">
        <v>181</v>
      </c>
      <c r="F22" s="129" t="s">
        <v>39</v>
      </c>
      <c r="G22" s="82" t="s">
        <v>198</v>
      </c>
      <c r="H22" s="130">
        <v>45589</v>
      </c>
      <c r="I22" s="130">
        <v>45352</v>
      </c>
      <c r="J22" s="82" t="s">
        <v>199</v>
      </c>
      <c r="K22" s="82"/>
      <c r="L22" s="82"/>
      <c r="M22" s="19">
        <v>56</v>
      </c>
      <c r="N22" s="82"/>
      <c r="O22" s="82"/>
      <c r="P22" s="82"/>
      <c r="Q22" s="82"/>
      <c r="R22" s="82"/>
      <c r="S22" s="82"/>
      <c r="T22" s="48"/>
      <c r="U22" s="82"/>
      <c r="V22" s="131"/>
      <c r="W22" s="82"/>
      <c r="X22" s="48"/>
      <c r="Y22" s="82"/>
      <c r="Z22" s="131"/>
      <c r="AA22" s="132">
        <f t="shared" si="0"/>
        <v>0</v>
      </c>
      <c r="AB22" s="82">
        <v>56</v>
      </c>
      <c r="AC22" s="48"/>
      <c r="AD22" s="132"/>
      <c r="AE22" s="82"/>
      <c r="AF22" s="131"/>
      <c r="AG22" s="82"/>
      <c r="AH22" s="82"/>
    </row>
    <row r="23" spans="1:34" x14ac:dyDescent="0.35">
      <c r="A23" s="82">
        <v>15</v>
      </c>
      <c r="B23" s="150"/>
      <c r="C23" s="158"/>
      <c r="D23" s="134" t="s">
        <v>206</v>
      </c>
      <c r="E23" s="30" t="s">
        <v>181</v>
      </c>
      <c r="F23" s="129" t="s">
        <v>39</v>
      </c>
      <c r="G23" s="82" t="s">
        <v>198</v>
      </c>
      <c r="H23" s="82"/>
      <c r="I23" s="130">
        <v>45352</v>
      </c>
      <c r="J23" s="82" t="s">
        <v>199</v>
      </c>
      <c r="K23" s="82"/>
      <c r="L23" s="82"/>
      <c r="M23" s="19">
        <v>17</v>
      </c>
      <c r="N23" s="82"/>
      <c r="O23" s="82"/>
      <c r="P23" s="82"/>
      <c r="Q23" s="82"/>
      <c r="R23" s="82"/>
      <c r="S23" s="82"/>
      <c r="T23" s="48"/>
      <c r="U23" s="82"/>
      <c r="V23" s="131"/>
      <c r="W23" s="82"/>
      <c r="X23" s="48"/>
      <c r="Y23" s="82"/>
      <c r="Z23" s="131"/>
      <c r="AA23" s="132">
        <f t="shared" si="0"/>
        <v>1</v>
      </c>
      <c r="AB23" s="82">
        <v>16</v>
      </c>
      <c r="AC23" s="48"/>
      <c r="AD23" s="132"/>
      <c r="AE23" s="82"/>
      <c r="AF23" s="131"/>
      <c r="AG23" s="82"/>
      <c r="AH23" s="82"/>
    </row>
    <row r="24" spans="1:34" x14ac:dyDescent="0.35">
      <c r="A24" s="82"/>
      <c r="B24" s="28"/>
      <c r="C24" s="28"/>
      <c r="D24" s="51" t="s">
        <v>49</v>
      </c>
      <c r="E24" s="52"/>
      <c r="F24" s="51"/>
      <c r="G24" s="147" t="s">
        <v>49</v>
      </c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9"/>
      <c r="T24" s="48">
        <f t="shared" ref="T24:AH24" si="1">SUM(T5:T23)</f>
        <v>0</v>
      </c>
      <c r="U24" s="82">
        <f t="shared" si="1"/>
        <v>0</v>
      </c>
      <c r="V24" s="131">
        <f t="shared" si="1"/>
        <v>0</v>
      </c>
      <c r="W24" s="82">
        <f t="shared" si="1"/>
        <v>0</v>
      </c>
      <c r="X24" s="48">
        <f t="shared" si="1"/>
        <v>0</v>
      </c>
      <c r="Y24" s="82">
        <f t="shared" si="1"/>
        <v>0</v>
      </c>
      <c r="Z24" s="131">
        <f t="shared" si="1"/>
        <v>0</v>
      </c>
      <c r="AA24" s="132">
        <f t="shared" si="1"/>
        <v>-2</v>
      </c>
      <c r="AB24" s="46">
        <f t="shared" si="1"/>
        <v>593</v>
      </c>
      <c r="AC24" s="48">
        <f t="shared" si="1"/>
        <v>0</v>
      </c>
      <c r="AD24" s="132" t="e">
        <f t="shared" si="1"/>
        <v>#VALUE!</v>
      </c>
      <c r="AE24" s="82">
        <f t="shared" si="1"/>
        <v>1055</v>
      </c>
      <c r="AF24" s="131">
        <f t="shared" si="1"/>
        <v>0</v>
      </c>
      <c r="AG24" s="82">
        <f t="shared" si="1"/>
        <v>0</v>
      </c>
      <c r="AH24" s="82">
        <f t="shared" si="1"/>
        <v>0</v>
      </c>
    </row>
    <row r="25" spans="1:34" x14ac:dyDescent="0.35">
      <c r="A25" s="82"/>
      <c r="B25" s="83"/>
      <c r="C25" s="83"/>
      <c r="D25" s="84"/>
      <c r="E25" s="85"/>
      <c r="F25" s="141"/>
      <c r="G25" s="84"/>
      <c r="H25" s="84"/>
      <c r="I25" s="84"/>
      <c r="J25" s="84"/>
      <c r="K25" s="84"/>
      <c r="L25" s="84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142"/>
      <c r="AB25" s="86"/>
      <c r="AC25" s="86"/>
      <c r="AD25" s="142"/>
      <c r="AE25" s="86"/>
      <c r="AF25" s="86"/>
      <c r="AG25" s="86"/>
      <c r="AH25" s="88"/>
    </row>
    <row r="26" spans="1:34" x14ac:dyDescent="0.35">
      <c r="A26" s="82">
        <v>16</v>
      </c>
      <c r="B26" s="150" t="s">
        <v>207</v>
      </c>
      <c r="C26" s="156" t="s">
        <v>222</v>
      </c>
      <c r="D26" s="128" t="s">
        <v>208</v>
      </c>
      <c r="E26" s="30" t="s">
        <v>181</v>
      </c>
      <c r="F26" s="143" t="s">
        <v>37</v>
      </c>
      <c r="G26" s="82" t="s">
        <v>209</v>
      </c>
      <c r="H26" s="130">
        <v>45674</v>
      </c>
      <c r="I26" s="130">
        <v>45298</v>
      </c>
      <c r="J26" s="82" t="s">
        <v>53</v>
      </c>
      <c r="K26" s="82"/>
      <c r="L26" s="82"/>
      <c r="M26" s="19">
        <v>82</v>
      </c>
      <c r="N26" s="82"/>
      <c r="O26" s="82">
        <v>100</v>
      </c>
      <c r="P26" s="82"/>
      <c r="Q26" s="82"/>
      <c r="R26" s="82"/>
      <c r="S26" s="82"/>
      <c r="T26" s="48"/>
      <c r="U26" s="82"/>
      <c r="V26" s="131"/>
      <c r="W26" s="82"/>
      <c r="X26" s="48"/>
      <c r="Y26" s="82"/>
      <c r="Z26" s="131"/>
      <c r="AA26" s="132">
        <f t="shared" ref="AA26:AA35" si="2">M26-AB26</f>
        <v>0</v>
      </c>
      <c r="AB26" s="82">
        <v>82</v>
      </c>
      <c r="AC26" s="48"/>
      <c r="AD26" s="132" t="e">
        <f t="shared" ref="AD26:AD35" si="3">O26-AE26</f>
        <v>#VALUE!</v>
      </c>
      <c r="AE26" s="82" t="s">
        <v>185</v>
      </c>
      <c r="AF26" s="131"/>
      <c r="AG26" s="82"/>
      <c r="AH26" s="82"/>
    </row>
    <row r="27" spans="1:34" x14ac:dyDescent="0.35">
      <c r="A27" s="82">
        <v>17</v>
      </c>
      <c r="B27" s="150"/>
      <c r="C27" s="157"/>
      <c r="D27" s="128" t="s">
        <v>210</v>
      </c>
      <c r="E27" s="30" t="s">
        <v>181</v>
      </c>
      <c r="F27" s="143" t="s">
        <v>37</v>
      </c>
      <c r="G27" s="82" t="s">
        <v>209</v>
      </c>
      <c r="H27" s="130">
        <v>45674</v>
      </c>
      <c r="I27" s="130">
        <v>45298</v>
      </c>
      <c r="J27" s="82" t="s">
        <v>53</v>
      </c>
      <c r="K27" s="82"/>
      <c r="L27" s="82"/>
      <c r="M27" s="19">
        <v>34</v>
      </c>
      <c r="N27" s="82"/>
      <c r="O27" s="82">
        <v>180</v>
      </c>
      <c r="P27" s="82"/>
      <c r="Q27" s="82"/>
      <c r="R27" s="82"/>
      <c r="S27" s="82"/>
      <c r="T27" s="48"/>
      <c r="U27" s="82"/>
      <c r="V27" s="131"/>
      <c r="W27" s="82"/>
      <c r="X27" s="48"/>
      <c r="Y27" s="82"/>
      <c r="Z27" s="131"/>
      <c r="AA27" s="132">
        <f t="shared" si="2"/>
        <v>0</v>
      </c>
      <c r="AB27" s="82">
        <v>34</v>
      </c>
      <c r="AC27" s="48"/>
      <c r="AD27" s="132" t="e">
        <f t="shared" si="3"/>
        <v>#VALUE!</v>
      </c>
      <c r="AE27" s="82" t="s">
        <v>185</v>
      </c>
      <c r="AF27" s="131"/>
      <c r="AG27" s="82"/>
      <c r="AH27" s="82"/>
    </row>
    <row r="28" spans="1:34" x14ac:dyDescent="0.35">
      <c r="A28" s="82">
        <v>18</v>
      </c>
      <c r="B28" s="150"/>
      <c r="C28" s="157"/>
      <c r="D28" s="128" t="s">
        <v>211</v>
      </c>
      <c r="E28" s="30" t="s">
        <v>181</v>
      </c>
      <c r="F28" s="143" t="s">
        <v>37</v>
      </c>
      <c r="G28" s="82" t="s">
        <v>209</v>
      </c>
      <c r="H28" s="130">
        <v>45705</v>
      </c>
      <c r="I28" s="130">
        <v>45298</v>
      </c>
      <c r="J28" s="82" t="s">
        <v>212</v>
      </c>
      <c r="K28" s="82"/>
      <c r="L28" s="82"/>
      <c r="M28" s="19">
        <v>92</v>
      </c>
      <c r="N28" s="82"/>
      <c r="O28" s="82"/>
      <c r="P28" s="82"/>
      <c r="Q28" s="82"/>
      <c r="R28" s="82"/>
      <c r="S28" s="82"/>
      <c r="T28" s="48"/>
      <c r="U28" s="82"/>
      <c r="V28" s="131"/>
      <c r="W28" s="82"/>
      <c r="X28" s="48"/>
      <c r="Y28" s="82"/>
      <c r="Z28" s="131"/>
      <c r="AA28" s="132">
        <f t="shared" si="2"/>
        <v>17</v>
      </c>
      <c r="AB28" s="82">
        <v>75</v>
      </c>
      <c r="AC28" s="48"/>
      <c r="AD28" s="132">
        <f t="shared" si="3"/>
        <v>0</v>
      </c>
      <c r="AE28" s="82"/>
      <c r="AF28" s="131"/>
      <c r="AG28" s="82"/>
      <c r="AH28" s="82"/>
    </row>
    <row r="29" spans="1:34" x14ac:dyDescent="0.35">
      <c r="A29" s="82">
        <v>19</v>
      </c>
      <c r="B29" s="150"/>
      <c r="C29" s="158"/>
      <c r="D29" s="134" t="s">
        <v>213</v>
      </c>
      <c r="E29" s="30" t="s">
        <v>181</v>
      </c>
      <c r="F29" s="143" t="s">
        <v>37</v>
      </c>
      <c r="G29" s="82" t="s">
        <v>209</v>
      </c>
      <c r="H29" s="130">
        <v>45705</v>
      </c>
      <c r="I29" s="130">
        <v>45298</v>
      </c>
      <c r="J29" s="82" t="s">
        <v>212</v>
      </c>
      <c r="K29" s="82"/>
      <c r="L29" s="82"/>
      <c r="M29" s="19">
        <v>53</v>
      </c>
      <c r="N29" s="82"/>
      <c r="O29" s="82"/>
      <c r="P29" s="82"/>
      <c r="Q29" s="82"/>
      <c r="R29" s="82"/>
      <c r="S29" s="82"/>
      <c r="T29" s="48"/>
      <c r="U29" s="82"/>
      <c r="V29" s="131"/>
      <c r="W29" s="82"/>
      <c r="X29" s="48"/>
      <c r="Y29" s="82"/>
      <c r="Z29" s="131"/>
      <c r="AA29" s="132">
        <f t="shared" si="2"/>
        <v>35</v>
      </c>
      <c r="AB29" s="82">
        <v>18</v>
      </c>
      <c r="AC29" s="48"/>
      <c r="AD29" s="132">
        <f t="shared" si="3"/>
        <v>0</v>
      </c>
      <c r="AE29" s="82"/>
      <c r="AF29" s="131"/>
      <c r="AG29" s="82"/>
      <c r="AH29" s="82"/>
    </row>
    <row r="30" spans="1:34" x14ac:dyDescent="0.35">
      <c r="A30" s="82">
        <v>20</v>
      </c>
      <c r="B30" s="150"/>
      <c r="C30" s="156" t="s">
        <v>223</v>
      </c>
      <c r="D30" s="128" t="s">
        <v>214</v>
      </c>
      <c r="E30" s="30" t="s">
        <v>181</v>
      </c>
      <c r="F30" s="143" t="s">
        <v>47</v>
      </c>
      <c r="G30" s="82" t="s">
        <v>215</v>
      </c>
      <c r="H30" s="130">
        <v>45622</v>
      </c>
      <c r="I30" s="130">
        <v>45703</v>
      </c>
      <c r="J30" s="82" t="s">
        <v>212</v>
      </c>
      <c r="K30" s="82"/>
      <c r="L30" s="82"/>
      <c r="M30" s="19">
        <v>58</v>
      </c>
      <c r="N30" s="82"/>
      <c r="O30" s="82"/>
      <c r="P30" s="82"/>
      <c r="Q30" s="82"/>
      <c r="R30" s="82"/>
      <c r="S30" s="82"/>
      <c r="T30" s="48"/>
      <c r="U30" s="82"/>
      <c r="V30" s="131"/>
      <c r="W30" s="82"/>
      <c r="X30" s="48"/>
      <c r="Y30" s="82"/>
      <c r="Z30" s="131"/>
      <c r="AA30" s="132">
        <f t="shared" si="2"/>
        <v>5</v>
      </c>
      <c r="AB30" s="82">
        <v>53</v>
      </c>
      <c r="AC30" s="48"/>
      <c r="AD30" s="132">
        <f t="shared" si="3"/>
        <v>0</v>
      </c>
      <c r="AE30" s="82"/>
      <c r="AF30" s="131"/>
      <c r="AG30" s="82"/>
      <c r="AH30" s="82"/>
    </row>
    <row r="31" spans="1:34" x14ac:dyDescent="0.35">
      <c r="A31" s="82">
        <v>21</v>
      </c>
      <c r="B31" s="150"/>
      <c r="C31" s="157"/>
      <c r="D31" s="128" t="s">
        <v>216</v>
      </c>
      <c r="E31" s="30" t="s">
        <v>181</v>
      </c>
      <c r="F31" s="143" t="s">
        <v>47</v>
      </c>
      <c r="G31" s="82" t="s">
        <v>215</v>
      </c>
      <c r="H31" s="130">
        <v>45622</v>
      </c>
      <c r="I31" s="130">
        <v>45703</v>
      </c>
      <c r="J31" s="82" t="s">
        <v>212</v>
      </c>
      <c r="K31" s="82"/>
      <c r="L31" s="82"/>
      <c r="M31" s="19">
        <v>125</v>
      </c>
      <c r="N31" s="82"/>
      <c r="O31" s="82"/>
      <c r="P31" s="82"/>
      <c r="Q31" s="82"/>
      <c r="R31" s="82"/>
      <c r="S31" s="82"/>
      <c r="T31" s="48"/>
      <c r="U31" s="82"/>
      <c r="V31" s="131"/>
      <c r="W31" s="82"/>
      <c r="X31" s="48"/>
      <c r="Y31" s="82"/>
      <c r="Z31" s="131"/>
      <c r="AA31" s="132">
        <f t="shared" si="2"/>
        <v>43</v>
      </c>
      <c r="AB31" s="82">
        <v>82</v>
      </c>
      <c r="AC31" s="48"/>
      <c r="AD31" s="132">
        <f t="shared" si="3"/>
        <v>0</v>
      </c>
      <c r="AE31" s="82"/>
      <c r="AF31" s="131"/>
      <c r="AG31" s="82"/>
      <c r="AH31" s="82"/>
    </row>
    <row r="32" spans="1:34" x14ac:dyDescent="0.35">
      <c r="A32" s="82">
        <v>22</v>
      </c>
      <c r="B32" s="150"/>
      <c r="C32" s="157"/>
      <c r="D32" s="128" t="s">
        <v>217</v>
      </c>
      <c r="E32" s="30" t="s">
        <v>181</v>
      </c>
      <c r="F32" s="143" t="s">
        <v>47</v>
      </c>
      <c r="G32" s="82" t="s">
        <v>215</v>
      </c>
      <c r="H32" s="130">
        <v>45622</v>
      </c>
      <c r="I32" s="130">
        <v>45703</v>
      </c>
      <c r="J32" s="82" t="s">
        <v>212</v>
      </c>
      <c r="K32" s="82"/>
      <c r="L32" s="82"/>
      <c r="M32" s="19">
        <v>34</v>
      </c>
      <c r="N32" s="82"/>
      <c r="O32" s="82"/>
      <c r="P32" s="82"/>
      <c r="Q32" s="82"/>
      <c r="R32" s="82"/>
      <c r="S32" s="82"/>
      <c r="T32" s="48"/>
      <c r="U32" s="82"/>
      <c r="V32" s="131"/>
      <c r="W32" s="82"/>
      <c r="X32" s="48"/>
      <c r="Y32" s="82"/>
      <c r="Z32" s="131"/>
      <c r="AA32" s="132">
        <f t="shared" si="2"/>
        <v>26</v>
      </c>
      <c r="AB32" s="82">
        <v>8</v>
      </c>
      <c r="AC32" s="48"/>
      <c r="AD32" s="132">
        <f t="shared" si="3"/>
        <v>0</v>
      </c>
      <c r="AE32" s="82"/>
      <c r="AF32" s="131"/>
      <c r="AG32" s="82"/>
      <c r="AH32" s="82"/>
    </row>
    <row r="33" spans="1:34" x14ac:dyDescent="0.35">
      <c r="A33" s="82">
        <v>23</v>
      </c>
      <c r="B33" s="150"/>
      <c r="C33" s="158"/>
      <c r="D33" s="128" t="s">
        <v>218</v>
      </c>
      <c r="E33" s="30" t="s">
        <v>181</v>
      </c>
      <c r="F33" s="143" t="s">
        <v>47</v>
      </c>
      <c r="G33" s="82" t="s">
        <v>215</v>
      </c>
      <c r="H33" s="130">
        <v>45622</v>
      </c>
      <c r="I33" s="130">
        <v>45703</v>
      </c>
      <c r="J33" s="82" t="s">
        <v>212</v>
      </c>
      <c r="K33" s="82"/>
      <c r="L33" s="82"/>
      <c r="M33" s="19">
        <v>11</v>
      </c>
      <c r="N33" s="82"/>
      <c r="O33" s="82"/>
      <c r="P33" s="82"/>
      <c r="Q33" s="82"/>
      <c r="R33" s="82"/>
      <c r="S33" s="82"/>
      <c r="T33" s="48"/>
      <c r="U33" s="82"/>
      <c r="V33" s="131"/>
      <c r="W33" s="82"/>
      <c r="X33" s="48"/>
      <c r="Y33" s="82"/>
      <c r="Z33" s="131"/>
      <c r="AA33" s="132">
        <f t="shared" si="2"/>
        <v>11</v>
      </c>
      <c r="AB33" s="82">
        <v>0</v>
      </c>
      <c r="AC33" s="48"/>
      <c r="AD33" s="132">
        <f t="shared" si="3"/>
        <v>0</v>
      </c>
      <c r="AE33" s="82"/>
      <c r="AF33" s="131"/>
      <c r="AG33" s="82"/>
      <c r="AH33" s="82"/>
    </row>
    <row r="34" spans="1:34" x14ac:dyDescent="0.35">
      <c r="A34" s="82">
        <v>24</v>
      </c>
      <c r="B34" s="150"/>
      <c r="C34" s="28"/>
      <c r="D34" s="144" t="s">
        <v>219</v>
      </c>
      <c r="E34" s="145"/>
      <c r="F34" s="146" t="s">
        <v>47</v>
      </c>
      <c r="G34" s="37" t="s">
        <v>215</v>
      </c>
      <c r="H34" s="37"/>
      <c r="I34" s="151" t="s">
        <v>196</v>
      </c>
      <c r="J34" s="152"/>
      <c r="K34" s="152"/>
      <c r="L34" s="152"/>
      <c r="M34" s="153"/>
      <c r="N34" s="82"/>
      <c r="O34" s="82"/>
      <c r="P34" s="82"/>
      <c r="Q34" s="82"/>
      <c r="R34" s="82"/>
      <c r="S34" s="82"/>
      <c r="T34" s="48"/>
      <c r="U34" s="82"/>
      <c r="V34" s="131"/>
      <c r="W34" s="82"/>
      <c r="X34" s="48"/>
      <c r="Y34" s="82"/>
      <c r="Z34" s="131"/>
      <c r="AA34" s="132">
        <f t="shared" si="2"/>
        <v>0</v>
      </c>
      <c r="AB34" s="82"/>
      <c r="AC34" s="48"/>
      <c r="AD34" s="132">
        <f t="shared" si="3"/>
        <v>0</v>
      </c>
      <c r="AE34" s="82"/>
      <c r="AF34" s="131"/>
      <c r="AG34" s="82"/>
      <c r="AH34" s="82"/>
    </row>
    <row r="35" spans="1:34" x14ac:dyDescent="0.35">
      <c r="A35" s="82">
        <v>25</v>
      </c>
      <c r="B35" s="150"/>
      <c r="C35" s="28"/>
      <c r="D35" s="138" t="s">
        <v>220</v>
      </c>
      <c r="E35" s="145"/>
      <c r="F35" s="146" t="s">
        <v>47</v>
      </c>
      <c r="G35" s="37" t="s">
        <v>215</v>
      </c>
      <c r="H35" s="37"/>
      <c r="I35" s="151" t="s">
        <v>196</v>
      </c>
      <c r="J35" s="152"/>
      <c r="K35" s="152"/>
      <c r="L35" s="152"/>
      <c r="M35" s="153"/>
      <c r="N35" s="82"/>
      <c r="O35" s="82"/>
      <c r="P35" s="82"/>
      <c r="Q35" s="82"/>
      <c r="R35" s="82"/>
      <c r="S35" s="82"/>
      <c r="T35" s="48"/>
      <c r="U35" s="82"/>
      <c r="V35" s="131"/>
      <c r="W35" s="82"/>
      <c r="X35" s="48"/>
      <c r="Y35" s="82"/>
      <c r="Z35" s="131"/>
      <c r="AA35" s="132">
        <f t="shared" si="2"/>
        <v>0</v>
      </c>
      <c r="AB35" s="82"/>
      <c r="AC35" s="48"/>
      <c r="AD35" s="132">
        <f t="shared" si="3"/>
        <v>0</v>
      </c>
      <c r="AE35" s="82"/>
      <c r="AF35" s="131"/>
      <c r="AG35" s="82"/>
      <c r="AH35" s="82"/>
    </row>
    <row r="36" spans="1:34" x14ac:dyDescent="0.35">
      <c r="A36" s="82"/>
      <c r="B36" s="150"/>
      <c r="C36" s="28"/>
      <c r="D36" s="51" t="s">
        <v>49</v>
      </c>
      <c r="E36" s="52"/>
      <c r="F36" s="51"/>
      <c r="G36" s="147" t="s">
        <v>49</v>
      </c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9"/>
      <c r="T36" s="48">
        <f>SUM(T26:T35)</f>
        <v>0</v>
      </c>
      <c r="U36" s="82">
        <f t="shared" ref="U36:AH36" si="4">SUM(U26:U35)</f>
        <v>0</v>
      </c>
      <c r="V36" s="131">
        <f t="shared" si="4"/>
        <v>0</v>
      </c>
      <c r="W36" s="82">
        <f t="shared" si="4"/>
        <v>0</v>
      </c>
      <c r="X36" s="48">
        <f t="shared" si="4"/>
        <v>0</v>
      </c>
      <c r="Y36" s="82">
        <f t="shared" si="4"/>
        <v>0</v>
      </c>
      <c r="Z36" s="131">
        <f t="shared" si="4"/>
        <v>0</v>
      </c>
      <c r="AA36" s="132">
        <f t="shared" si="4"/>
        <v>137</v>
      </c>
      <c r="AB36" s="82">
        <f t="shared" si="4"/>
        <v>352</v>
      </c>
      <c r="AC36" s="48">
        <f t="shared" si="4"/>
        <v>0</v>
      </c>
      <c r="AD36" s="132" t="e">
        <f t="shared" si="4"/>
        <v>#VALUE!</v>
      </c>
      <c r="AE36" s="82">
        <f t="shared" si="4"/>
        <v>0</v>
      </c>
      <c r="AF36" s="131">
        <f t="shared" si="4"/>
        <v>0</v>
      </c>
      <c r="AG36" s="82">
        <f t="shared" si="4"/>
        <v>0</v>
      </c>
      <c r="AH36" s="82">
        <f t="shared" si="4"/>
        <v>0</v>
      </c>
    </row>
    <row r="39" spans="1:34" x14ac:dyDescent="0.35">
      <c r="D39" s="1" t="s">
        <v>221</v>
      </c>
    </row>
  </sheetData>
  <mergeCells count="20">
    <mergeCell ref="AA3:AC3"/>
    <mergeCell ref="AD3:AF3"/>
    <mergeCell ref="AH4:AH5"/>
    <mergeCell ref="B5:B23"/>
    <mergeCell ref="C5:C13"/>
    <mergeCell ref="C14:C23"/>
    <mergeCell ref="I15:M15"/>
    <mergeCell ref="B3:D4"/>
    <mergeCell ref="G3:N3"/>
    <mergeCell ref="S3:T3"/>
    <mergeCell ref="U3:V3"/>
    <mergeCell ref="W3:X3"/>
    <mergeCell ref="Y3:Z3"/>
    <mergeCell ref="G24:S24"/>
    <mergeCell ref="B26:B36"/>
    <mergeCell ref="I34:M34"/>
    <mergeCell ref="I35:M35"/>
    <mergeCell ref="G36:S36"/>
    <mergeCell ref="C26:C29"/>
    <mergeCell ref="C30:C33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54DF0-DE91-423B-A48C-8E7D27CF595A}">
  <dimension ref="A2:AV95"/>
  <sheetViews>
    <sheetView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4" sqref="E4"/>
    </sheetView>
  </sheetViews>
  <sheetFormatPr defaultColWidth="9.07421875" defaultRowHeight="12" x14ac:dyDescent="0.35"/>
  <cols>
    <col min="1" max="1" width="2.765625" style="1" bestFit="1" customWidth="1"/>
    <col min="2" max="2" width="4.69140625" style="1" bestFit="1" customWidth="1"/>
    <col min="3" max="3" width="16.15234375" style="1" customWidth="1"/>
    <col min="4" max="4" width="8.765625" style="2" bestFit="1" customWidth="1"/>
    <col min="5" max="5" width="4.15234375" style="1" bestFit="1" customWidth="1"/>
    <col min="6" max="6" width="9.921875" style="1" bestFit="1" customWidth="1"/>
    <col min="7" max="7" width="8.61328125" style="1" bestFit="1" customWidth="1"/>
    <col min="8" max="8" width="9.53515625" style="1" customWidth="1"/>
    <col min="9" max="9" width="24.3828125" style="1" customWidth="1"/>
    <col min="10" max="10" width="9.23046875" style="1" customWidth="1"/>
    <col min="11" max="11" width="5.921875" style="1" bestFit="1" customWidth="1"/>
    <col min="12" max="12" width="3.3046875" style="3" bestFit="1" customWidth="1"/>
    <col min="13" max="13" width="5.23046875" style="1" customWidth="1"/>
    <col min="14" max="14" width="4" style="1" hidden="1" customWidth="1"/>
    <col min="15" max="15" width="5.921875" style="5" hidden="1" customWidth="1"/>
    <col min="16" max="16" width="3.23046875" style="1" hidden="1" customWidth="1"/>
    <col min="17" max="17" width="4.3046875" style="5" hidden="1" customWidth="1"/>
    <col min="18" max="18" width="4.3046875" style="1" hidden="1" customWidth="1"/>
    <col min="19" max="19" width="4.3046875" style="5" hidden="1" customWidth="1"/>
    <col min="20" max="20" width="4.3046875" style="1" hidden="1" customWidth="1"/>
    <col min="21" max="35" width="4.3046875" style="5" hidden="1" customWidth="1"/>
    <col min="36" max="36" width="5.69140625" style="6" bestFit="1" customWidth="1"/>
    <col min="37" max="37" width="5.69140625" style="7" bestFit="1" customWidth="1"/>
    <col min="38" max="38" width="5.23046875" style="1" bestFit="1" customWidth="1"/>
    <col min="39" max="39" width="5.15234375" style="1" customWidth="1"/>
    <col min="40" max="40" width="6.69140625" style="1" bestFit="1" customWidth="1"/>
    <col min="41" max="41" width="5.921875" style="1" bestFit="1" customWidth="1"/>
    <col min="42" max="42" width="6.69140625" style="5" bestFit="1" customWidth="1"/>
    <col min="43" max="43" width="8.69140625" style="1" bestFit="1" customWidth="1"/>
    <col min="44" max="46" width="9.53515625" style="1" customWidth="1"/>
    <col min="47" max="47" width="9.23046875" style="1" bestFit="1" customWidth="1"/>
    <col min="48" max="16384" width="9.07421875" style="1"/>
  </cols>
  <sheetData>
    <row r="2" spans="1:47" x14ac:dyDescent="0.35">
      <c r="M2" s="4" t="s">
        <v>0</v>
      </c>
    </row>
    <row r="3" spans="1:47" ht="48" x14ac:dyDescent="0.35">
      <c r="A3" s="167" t="s">
        <v>1</v>
      </c>
      <c r="B3" s="155"/>
      <c r="C3" s="155"/>
      <c r="D3" s="10"/>
      <c r="E3" s="9"/>
      <c r="F3" s="159"/>
      <c r="G3" s="159"/>
      <c r="H3" s="159"/>
      <c r="I3" s="159"/>
      <c r="J3" s="159"/>
      <c r="K3" s="159"/>
      <c r="L3" s="159"/>
      <c r="M3" s="159"/>
      <c r="N3" s="155" t="s">
        <v>2</v>
      </c>
      <c r="O3" s="155"/>
      <c r="P3" s="155" t="s">
        <v>3</v>
      </c>
      <c r="Q3" s="155"/>
      <c r="R3" s="155" t="s">
        <v>4</v>
      </c>
      <c r="S3" s="155"/>
      <c r="T3" s="172" t="s">
        <v>5</v>
      </c>
      <c r="U3" s="172"/>
      <c r="V3" s="172" t="s">
        <v>6</v>
      </c>
      <c r="W3" s="172"/>
      <c r="X3" s="174" t="s">
        <v>7</v>
      </c>
      <c r="Y3" s="174"/>
      <c r="Z3" s="172" t="s">
        <v>8</v>
      </c>
      <c r="AA3" s="172"/>
      <c r="AB3" s="174" t="s">
        <v>9</v>
      </c>
      <c r="AC3" s="174"/>
      <c r="AD3" s="171" t="s">
        <v>10</v>
      </c>
      <c r="AE3" s="172"/>
      <c r="AF3" s="171" t="s">
        <v>11</v>
      </c>
      <c r="AG3" s="172"/>
      <c r="AH3" s="173" t="s">
        <v>12</v>
      </c>
      <c r="AI3" s="174"/>
      <c r="AJ3" s="12" t="s">
        <v>13</v>
      </c>
      <c r="AK3" s="13" t="s">
        <v>14</v>
      </c>
      <c r="AL3" s="175" t="s">
        <v>15</v>
      </c>
      <c r="AM3" s="176"/>
      <c r="AN3" s="176"/>
      <c r="AO3" s="176"/>
      <c r="AP3" s="177"/>
      <c r="AQ3" s="14"/>
      <c r="AR3" s="15" t="s">
        <v>16</v>
      </c>
      <c r="AS3" s="16" t="s">
        <v>17</v>
      </c>
      <c r="AT3" s="17" t="s">
        <v>18</v>
      </c>
    </row>
    <row r="4" spans="1:47" ht="72" x14ac:dyDescent="0.35">
      <c r="A4" s="167"/>
      <c r="B4" s="155"/>
      <c r="C4" s="155"/>
      <c r="D4" s="10" t="s">
        <v>19</v>
      </c>
      <c r="E4" s="18" t="s">
        <v>20</v>
      </c>
      <c r="F4" s="19" t="s">
        <v>21</v>
      </c>
      <c r="G4" s="15" t="s">
        <v>22</v>
      </c>
      <c r="H4" s="15" t="s">
        <v>23</v>
      </c>
      <c r="I4" s="15" t="s">
        <v>24</v>
      </c>
      <c r="J4" s="15" t="s">
        <v>25</v>
      </c>
      <c r="K4" s="15" t="s">
        <v>26</v>
      </c>
      <c r="L4" s="15" t="s">
        <v>27</v>
      </c>
      <c r="M4" s="20" t="s">
        <v>28</v>
      </c>
      <c r="N4" s="15" t="s">
        <v>29</v>
      </c>
      <c r="O4" s="21" t="s">
        <v>30</v>
      </c>
      <c r="P4" s="15" t="s">
        <v>29</v>
      </c>
      <c r="Q4" s="21" t="s">
        <v>30</v>
      </c>
      <c r="R4" s="15" t="s">
        <v>29</v>
      </c>
      <c r="S4" s="21" t="s">
        <v>30</v>
      </c>
      <c r="T4" s="22" t="s">
        <v>29</v>
      </c>
      <c r="U4" s="23" t="s">
        <v>30</v>
      </c>
      <c r="V4" s="22" t="s">
        <v>29</v>
      </c>
      <c r="W4" s="23" t="s">
        <v>30</v>
      </c>
      <c r="X4" s="24" t="s">
        <v>29</v>
      </c>
      <c r="Y4" s="25" t="s">
        <v>30</v>
      </c>
      <c r="Z4" s="22" t="s">
        <v>29</v>
      </c>
      <c r="AA4" s="23" t="s">
        <v>30</v>
      </c>
      <c r="AB4" s="24" t="s">
        <v>29</v>
      </c>
      <c r="AC4" s="25" t="s">
        <v>30</v>
      </c>
      <c r="AD4" s="22" t="s">
        <v>29</v>
      </c>
      <c r="AE4" s="23" t="s">
        <v>30</v>
      </c>
      <c r="AF4" s="23" t="s">
        <v>29</v>
      </c>
      <c r="AG4" s="23" t="s">
        <v>30</v>
      </c>
      <c r="AH4" s="24" t="s">
        <v>29</v>
      </c>
      <c r="AI4" s="25" t="s">
        <v>30</v>
      </c>
      <c r="AJ4" s="26" t="s">
        <v>29</v>
      </c>
      <c r="AK4" s="24" t="s">
        <v>29</v>
      </c>
      <c r="AL4" s="19" t="s">
        <v>31</v>
      </c>
      <c r="AM4" s="15" t="s">
        <v>29</v>
      </c>
      <c r="AN4" s="15" t="s">
        <v>32</v>
      </c>
      <c r="AO4" s="15" t="s">
        <v>33</v>
      </c>
      <c r="AP4" s="21" t="s">
        <v>30</v>
      </c>
      <c r="AQ4" s="19" t="s">
        <v>34</v>
      </c>
      <c r="AR4" s="155"/>
      <c r="AS4" s="27"/>
      <c r="AT4" s="27" t="s">
        <v>35</v>
      </c>
      <c r="AU4" s="1" t="s">
        <v>36</v>
      </c>
    </row>
    <row r="5" spans="1:47" ht="13.2" customHeight="1" x14ac:dyDescent="0.35">
      <c r="A5" s="167"/>
      <c r="B5" s="150" t="s">
        <v>37</v>
      </c>
      <c r="C5" s="29" t="s">
        <v>38</v>
      </c>
      <c r="D5" s="30"/>
      <c r="E5" s="29" t="s">
        <v>39</v>
      </c>
      <c r="F5" s="31" t="s">
        <v>40</v>
      </c>
      <c r="G5" s="32"/>
      <c r="H5" s="33">
        <v>45688</v>
      </c>
      <c r="I5" s="34">
        <v>45717</v>
      </c>
      <c r="J5" s="35">
        <v>0.81</v>
      </c>
      <c r="K5" s="31">
        <v>709.36</v>
      </c>
      <c r="L5" s="29">
        <v>58</v>
      </c>
      <c r="M5" s="36">
        <v>2</v>
      </c>
      <c r="N5" s="37"/>
      <c r="O5" s="38"/>
      <c r="P5" s="37"/>
      <c r="Q5" s="38"/>
      <c r="R5" s="37">
        <v>45</v>
      </c>
      <c r="S5" s="38">
        <f>R5*K5</f>
        <v>31921.200000000001</v>
      </c>
      <c r="T5" s="37">
        <f>55-R5</f>
        <v>10</v>
      </c>
      <c r="U5" s="38">
        <f>T5*K5</f>
        <v>7093.6</v>
      </c>
      <c r="V5" s="39"/>
      <c r="W5" s="38"/>
      <c r="X5" s="40"/>
      <c r="Y5" s="41"/>
      <c r="Z5" s="39">
        <v>-2</v>
      </c>
      <c r="AA5" s="38">
        <f>Z5*876</f>
        <v>-1752</v>
      </c>
      <c r="AB5" s="42"/>
      <c r="AC5" s="43"/>
      <c r="AD5" s="44"/>
      <c r="AE5" s="38"/>
      <c r="AF5" s="39">
        <v>3</v>
      </c>
      <c r="AG5" s="38">
        <f>AF5*K5</f>
        <v>2128.08</v>
      </c>
      <c r="AH5" s="42"/>
      <c r="AI5" s="43"/>
      <c r="AJ5" s="45">
        <f>N5+P5+R5+T5+V5+Z5+AD5+AF5</f>
        <v>56</v>
      </c>
      <c r="AK5" s="24">
        <f>X5+AB5+AH5</f>
        <v>0</v>
      </c>
      <c r="AL5" s="46">
        <f>L5-(M5+N5+P5+R5+T5+V5+X5+Z5+AB5+AD5+AF5+AH5)</f>
        <v>0</v>
      </c>
      <c r="AM5" s="47">
        <f>N5+P5+R5+T5+V5+X5+Z5+AB5+AD5+AF5+AH5</f>
        <v>56</v>
      </c>
      <c r="AN5" s="47">
        <f t="shared" ref="AN5:AN8" si="0">AJ5*K5</f>
        <v>39724.160000000003</v>
      </c>
      <c r="AO5" s="47">
        <f t="shared" ref="AO5:AO8" si="1">AK5*K5</f>
        <v>0</v>
      </c>
      <c r="AP5" s="48">
        <f>AM5*K5</f>
        <v>39724.160000000003</v>
      </c>
      <c r="AQ5" s="159"/>
      <c r="AR5" s="155"/>
      <c r="AS5" s="27"/>
      <c r="AT5" s="27"/>
    </row>
    <row r="6" spans="1:47" x14ac:dyDescent="0.35">
      <c r="A6" s="167"/>
      <c r="B6" s="150"/>
      <c r="C6" s="29" t="s">
        <v>41</v>
      </c>
      <c r="D6" s="30"/>
      <c r="E6" s="29" t="s">
        <v>39</v>
      </c>
      <c r="F6" s="31" t="s">
        <v>42</v>
      </c>
      <c r="G6" s="49">
        <v>45441</v>
      </c>
      <c r="H6" s="33">
        <v>45688</v>
      </c>
      <c r="I6" s="34">
        <v>45717</v>
      </c>
      <c r="J6" s="35">
        <v>0.86909999999999998</v>
      </c>
      <c r="K6" s="31">
        <v>847.88</v>
      </c>
      <c r="L6" s="29">
        <v>150</v>
      </c>
      <c r="M6" s="36">
        <v>2</v>
      </c>
      <c r="N6" s="37"/>
      <c r="O6" s="38"/>
      <c r="P6" s="37">
        <v>32</v>
      </c>
      <c r="Q6" s="38">
        <f>P6*K6</f>
        <v>27132.16</v>
      </c>
      <c r="R6" s="37">
        <f>94-P6</f>
        <v>62</v>
      </c>
      <c r="S6" s="38">
        <f>R6*K6</f>
        <v>52568.56</v>
      </c>
      <c r="T6" s="37">
        <f>100-P6-R6</f>
        <v>6</v>
      </c>
      <c r="U6" s="38">
        <f>T6*K6</f>
        <v>5087.28</v>
      </c>
      <c r="V6" s="39"/>
      <c r="W6" s="38"/>
      <c r="X6" s="40"/>
      <c r="Y6" s="41"/>
      <c r="Z6" s="39">
        <v>46</v>
      </c>
      <c r="AA6" s="38">
        <f>Z6*717.4565</f>
        <v>33002.999000000003</v>
      </c>
      <c r="AB6" s="42"/>
      <c r="AC6" s="43"/>
      <c r="AD6" s="39">
        <v>1</v>
      </c>
      <c r="AE6" s="38">
        <f t="shared" ref="AE6:AE8" si="2">AD6*K6</f>
        <v>847.88</v>
      </c>
      <c r="AF6" s="38">
        <v>1</v>
      </c>
      <c r="AG6" s="38"/>
      <c r="AH6" s="42"/>
      <c r="AI6" s="43"/>
      <c r="AJ6" s="45">
        <f t="shared" ref="AJ6:AJ8" si="3">N6+P6+R6+T6+V6+Z6+AD6+AF6</f>
        <v>148</v>
      </c>
      <c r="AK6" s="42">
        <f t="shared" ref="AK6:AK8" si="4">X6+AB6+AH6</f>
        <v>0</v>
      </c>
      <c r="AL6" s="46">
        <f>L6-(M6+N6+P6+R6+T6+V6+X6+Z6+AB6+AD6+AF6+AH6)</f>
        <v>0</v>
      </c>
      <c r="AM6" s="47">
        <f t="shared" ref="AM6:AM8" si="5">N6+P6+R6+T6+V6+X6+Z6+AB6+AD6+AF6+AH6</f>
        <v>148</v>
      </c>
      <c r="AN6" s="47">
        <f t="shared" si="0"/>
        <v>125486.24</v>
      </c>
      <c r="AO6" s="47">
        <f t="shared" si="1"/>
        <v>0</v>
      </c>
      <c r="AP6" s="48">
        <f>AM6*K6</f>
        <v>125486.24</v>
      </c>
      <c r="AQ6" s="159"/>
      <c r="AR6" s="155"/>
      <c r="AS6" s="50">
        <v>126419</v>
      </c>
      <c r="AT6" s="50"/>
    </row>
    <row r="7" spans="1:47" x14ac:dyDescent="0.35">
      <c r="A7" s="167"/>
      <c r="B7" s="150"/>
      <c r="C7" s="29" t="s">
        <v>43</v>
      </c>
      <c r="D7" s="30"/>
      <c r="E7" s="29" t="s">
        <v>39</v>
      </c>
      <c r="F7" s="31" t="s">
        <v>44</v>
      </c>
      <c r="G7" s="49">
        <v>45494</v>
      </c>
      <c r="H7" s="49" t="s">
        <v>45</v>
      </c>
      <c r="I7" s="34">
        <v>45717</v>
      </c>
      <c r="J7" s="35">
        <v>0.67</v>
      </c>
      <c r="K7" s="31">
        <v>710.06</v>
      </c>
      <c r="L7" s="29">
        <v>72</v>
      </c>
      <c r="M7" s="36">
        <v>10</v>
      </c>
      <c r="N7" s="37"/>
      <c r="O7" s="38"/>
      <c r="P7" s="37"/>
      <c r="Q7" s="38"/>
      <c r="R7" s="37"/>
      <c r="S7" s="38"/>
      <c r="T7" s="37">
        <v>46</v>
      </c>
      <c r="U7" s="38">
        <f>T7*K7</f>
        <v>32662.76</v>
      </c>
      <c r="V7" s="39"/>
      <c r="W7" s="38"/>
      <c r="X7" s="40"/>
      <c r="Y7" s="41"/>
      <c r="Z7" s="39">
        <v>0</v>
      </c>
      <c r="AA7" s="38">
        <v>0</v>
      </c>
      <c r="AB7" s="42"/>
      <c r="AC7" s="43"/>
      <c r="AD7" s="44"/>
      <c r="AE7" s="38">
        <f t="shared" si="2"/>
        <v>0</v>
      </c>
      <c r="AF7" s="39">
        <v>16</v>
      </c>
      <c r="AG7" s="38">
        <f>AF7*K7</f>
        <v>11360.96</v>
      </c>
      <c r="AH7" s="42"/>
      <c r="AI7" s="43"/>
      <c r="AJ7" s="45">
        <f t="shared" si="3"/>
        <v>62</v>
      </c>
      <c r="AK7" s="42">
        <f t="shared" si="4"/>
        <v>0</v>
      </c>
      <c r="AL7" s="46">
        <f t="shared" ref="AL7:AL8" si="6">L7-(M7+N7+P7+R7+T7+V7+X7+Z7+AB7+AD7+AF7+AH7)</f>
        <v>0</v>
      </c>
      <c r="AM7" s="47">
        <f t="shared" si="5"/>
        <v>62</v>
      </c>
      <c r="AN7" s="47">
        <f t="shared" si="0"/>
        <v>44023.719999999994</v>
      </c>
      <c r="AO7" s="47">
        <f t="shared" si="1"/>
        <v>0</v>
      </c>
      <c r="AP7" s="48">
        <f>AM7*K7</f>
        <v>44023.719999999994</v>
      </c>
      <c r="AQ7" s="159"/>
      <c r="AR7" s="155"/>
      <c r="AS7" s="27"/>
      <c r="AT7" s="27"/>
    </row>
    <row r="8" spans="1:47" x14ac:dyDescent="0.35">
      <c r="A8" s="167"/>
      <c r="B8" s="150"/>
      <c r="C8" s="29" t="s">
        <v>46</v>
      </c>
      <c r="D8" s="30"/>
      <c r="E8" s="29" t="s">
        <v>47</v>
      </c>
      <c r="F8" s="31" t="s">
        <v>48</v>
      </c>
      <c r="G8" s="49">
        <v>45575</v>
      </c>
      <c r="H8" s="33">
        <v>45688</v>
      </c>
      <c r="I8" s="34">
        <v>45717</v>
      </c>
      <c r="J8" s="31">
        <v>17</v>
      </c>
      <c r="K8" s="31">
        <v>699.81</v>
      </c>
      <c r="L8" s="29">
        <v>80</v>
      </c>
      <c r="M8" s="36">
        <v>6</v>
      </c>
      <c r="N8" s="37"/>
      <c r="O8" s="38"/>
      <c r="P8" s="37"/>
      <c r="Q8" s="38"/>
      <c r="R8" s="37"/>
      <c r="S8" s="38"/>
      <c r="T8" s="37"/>
      <c r="U8" s="38"/>
      <c r="V8" s="39"/>
      <c r="W8" s="38"/>
      <c r="X8" s="40"/>
      <c r="Y8" s="41"/>
      <c r="Z8" s="39">
        <v>40</v>
      </c>
      <c r="AA8" s="38">
        <f>Z8*K8</f>
        <v>27992.399999999998</v>
      </c>
      <c r="AB8" s="42"/>
      <c r="AC8" s="43"/>
      <c r="AD8" s="39">
        <v>23</v>
      </c>
      <c r="AE8" s="38">
        <f t="shared" si="2"/>
        <v>16095.63</v>
      </c>
      <c r="AF8" s="39">
        <v>11</v>
      </c>
      <c r="AG8" s="38">
        <f>AF8*K8</f>
        <v>7697.91</v>
      </c>
      <c r="AH8" s="42"/>
      <c r="AI8" s="43"/>
      <c r="AJ8" s="45">
        <f t="shared" si="3"/>
        <v>74</v>
      </c>
      <c r="AK8" s="24">
        <f t="shared" si="4"/>
        <v>0</v>
      </c>
      <c r="AL8" s="46">
        <f t="shared" si="6"/>
        <v>0</v>
      </c>
      <c r="AM8" s="47">
        <f t="shared" si="5"/>
        <v>74</v>
      </c>
      <c r="AN8" s="47">
        <f t="shared" si="0"/>
        <v>51785.939999999995</v>
      </c>
      <c r="AO8" s="47">
        <f t="shared" si="1"/>
        <v>0</v>
      </c>
      <c r="AP8" s="48">
        <f>AM8*K8</f>
        <v>51785.939999999995</v>
      </c>
      <c r="AQ8" s="159"/>
      <c r="AR8" s="155"/>
      <c r="AS8" s="27"/>
      <c r="AT8" s="27"/>
    </row>
    <row r="9" spans="1:47" x14ac:dyDescent="0.35">
      <c r="A9" s="167"/>
      <c r="B9" s="150"/>
      <c r="C9" s="51" t="s">
        <v>49</v>
      </c>
      <c r="D9" s="52"/>
      <c r="E9" s="51"/>
      <c r="F9" s="163" t="s">
        <v>49</v>
      </c>
      <c r="G9" s="163"/>
      <c r="H9" s="163"/>
      <c r="I9" s="163"/>
      <c r="J9" s="163"/>
      <c r="K9" s="163"/>
      <c r="L9" s="163"/>
      <c r="M9" s="54">
        <f t="shared" ref="M9:W9" si="7">SUM(M5:M8)</f>
        <v>20</v>
      </c>
      <c r="N9" s="54">
        <f t="shared" si="7"/>
        <v>0</v>
      </c>
      <c r="O9" s="55">
        <f t="shared" si="7"/>
        <v>0</v>
      </c>
      <c r="P9" s="54">
        <f t="shared" si="7"/>
        <v>32</v>
      </c>
      <c r="Q9" s="55">
        <f t="shared" si="7"/>
        <v>27132.16</v>
      </c>
      <c r="R9" s="54">
        <f t="shared" si="7"/>
        <v>107</v>
      </c>
      <c r="S9" s="55">
        <f t="shared" si="7"/>
        <v>84489.76</v>
      </c>
      <c r="T9" s="54">
        <f t="shared" si="7"/>
        <v>62</v>
      </c>
      <c r="U9" s="55">
        <f t="shared" si="7"/>
        <v>44843.64</v>
      </c>
      <c r="V9" s="54">
        <f t="shared" si="7"/>
        <v>0</v>
      </c>
      <c r="W9" s="55">
        <f t="shared" si="7"/>
        <v>0</v>
      </c>
      <c r="X9" s="56">
        <f>SUM(X5:X8)</f>
        <v>0</v>
      </c>
      <c r="Y9" s="57">
        <f>SUM(Y5:Y8)</f>
        <v>0</v>
      </c>
      <c r="Z9" s="58">
        <f>SUM(Z5:Z8)</f>
        <v>84</v>
      </c>
      <c r="AA9" s="55">
        <f>SUM(AA5:AA8)</f>
        <v>59243.399000000005</v>
      </c>
      <c r="AB9" s="59"/>
      <c r="AC9" s="60"/>
      <c r="AD9" s="58">
        <f>SUM(AD5:AD8)</f>
        <v>24</v>
      </c>
      <c r="AE9" s="55">
        <f>SUM(AE5:AE8)</f>
        <v>16943.509999999998</v>
      </c>
      <c r="AF9" s="58">
        <f>SUM(AF5:AF8)</f>
        <v>31</v>
      </c>
      <c r="AG9" s="55">
        <f>SUM(AG5:AG8)</f>
        <v>21186.949999999997</v>
      </c>
      <c r="AH9" s="59"/>
      <c r="AI9" s="60"/>
      <c r="AJ9" s="45">
        <f t="shared" ref="AJ9:AP9" si="8">SUM(AJ5:AJ8)</f>
        <v>340</v>
      </c>
      <c r="AK9" s="24">
        <f t="shared" si="8"/>
        <v>0</v>
      </c>
      <c r="AL9" s="54">
        <f t="shared" si="8"/>
        <v>0</v>
      </c>
      <c r="AM9" s="54">
        <f t="shared" si="8"/>
        <v>340</v>
      </c>
      <c r="AN9" s="54">
        <f t="shared" si="8"/>
        <v>261020.06000000003</v>
      </c>
      <c r="AO9" s="54">
        <f t="shared" si="8"/>
        <v>0</v>
      </c>
      <c r="AP9" s="55">
        <f t="shared" si="8"/>
        <v>261020.06000000003</v>
      </c>
      <c r="AQ9" s="54">
        <f>(AG9*160)+5100000</f>
        <v>8489912</v>
      </c>
      <c r="AR9" s="54">
        <f>AP9*160</f>
        <v>41763209.600000001</v>
      </c>
      <c r="AS9" s="61"/>
      <c r="AT9" s="61"/>
    </row>
    <row r="10" spans="1:47" ht="5.7" customHeight="1" x14ac:dyDescent="0.35">
      <c r="A10" s="167"/>
      <c r="B10" s="62"/>
      <c r="C10" s="63"/>
      <c r="D10" s="64"/>
      <c r="E10" s="63"/>
      <c r="F10" s="63"/>
      <c r="G10" s="63"/>
      <c r="H10" s="63"/>
      <c r="I10" s="63"/>
      <c r="J10" s="63"/>
      <c r="K10" s="63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6"/>
      <c r="AK10" s="65"/>
      <c r="AL10" s="65"/>
      <c r="AM10" s="65"/>
      <c r="AN10" s="65"/>
      <c r="AO10" s="65"/>
      <c r="AP10" s="65"/>
      <c r="AQ10" s="65"/>
      <c r="AR10" s="65"/>
      <c r="AS10" s="67"/>
      <c r="AT10" s="67"/>
    </row>
    <row r="11" spans="1:47" x14ac:dyDescent="0.35">
      <c r="A11" s="167"/>
      <c r="B11" s="150" t="s">
        <v>50</v>
      </c>
      <c r="C11" s="68" t="s">
        <v>51</v>
      </c>
      <c r="D11" s="69" t="s">
        <v>52</v>
      </c>
      <c r="E11" s="70"/>
      <c r="F11" s="51"/>
      <c r="G11" s="160" t="s">
        <v>53</v>
      </c>
      <c r="H11" s="161"/>
      <c r="I11" s="162"/>
      <c r="J11" s="71" t="s">
        <v>54</v>
      </c>
      <c r="K11" s="31">
        <v>209.55</v>
      </c>
      <c r="L11" s="19">
        <v>42</v>
      </c>
      <c r="M11" s="54"/>
      <c r="N11" s="37">
        <v>42</v>
      </c>
      <c r="O11" s="38">
        <f>N11*K11</f>
        <v>8801.1</v>
      </c>
      <c r="P11" s="37">
        <v>0</v>
      </c>
      <c r="Q11" s="38">
        <f>P11*K11</f>
        <v>0</v>
      </c>
      <c r="R11" s="37">
        <v>0</v>
      </c>
      <c r="S11" s="38">
        <f>R11*K11</f>
        <v>0</v>
      </c>
      <c r="T11" s="37">
        <v>-14</v>
      </c>
      <c r="U11" s="72">
        <f>T11*K11</f>
        <v>-2933.7000000000003</v>
      </c>
      <c r="V11" s="73"/>
      <c r="W11" s="72"/>
      <c r="X11" s="74">
        <v>14</v>
      </c>
      <c r="Y11" s="75">
        <f>X11*205</f>
        <v>2870</v>
      </c>
      <c r="Z11" s="73">
        <v>0</v>
      </c>
      <c r="AA11" s="72">
        <v>0</v>
      </c>
      <c r="AB11" s="42"/>
      <c r="AC11" s="43"/>
      <c r="AD11" s="73"/>
      <c r="AE11" s="72"/>
      <c r="AF11" s="72"/>
      <c r="AG11" s="72"/>
      <c r="AH11" s="42"/>
      <c r="AI11" s="43"/>
      <c r="AJ11" s="45">
        <f t="shared" ref="AJ11:AJ12" si="9">N11+P11+R11+T11+V11+Z11+AD11+AF11</f>
        <v>28</v>
      </c>
      <c r="AK11" s="24">
        <f t="shared" ref="AK11:AK12" si="10">X11+AB11+AH11</f>
        <v>14</v>
      </c>
      <c r="AL11" s="46">
        <f t="shared" ref="AL11:AL12" si="11">L11-(M11+N11+P11+R11+T11+V11+X11+Z11+AB11+AD11+AF11+AH11)</f>
        <v>0</v>
      </c>
      <c r="AM11" s="47">
        <f t="shared" ref="AM11:AM12" si="12">N11+P11+R11+T11+V11+X11+Z11+AB11+AD11+AF11+AH11</f>
        <v>42</v>
      </c>
      <c r="AN11" s="47">
        <f t="shared" ref="AN11:AN12" si="13">AJ11*K11</f>
        <v>5867.4000000000005</v>
      </c>
      <c r="AO11" s="47">
        <f t="shared" ref="AO11:AO12" si="14">AK11*K11</f>
        <v>2933.7000000000003</v>
      </c>
      <c r="AP11" s="48">
        <f>(AM11*K11)</f>
        <v>8801.1</v>
      </c>
      <c r="AQ11" s="54"/>
      <c r="AR11" s="76"/>
      <c r="AS11" s="77"/>
      <c r="AT11" s="77"/>
    </row>
    <row r="12" spans="1:47" x14ac:dyDescent="0.35">
      <c r="A12" s="167"/>
      <c r="B12" s="150"/>
      <c r="C12" s="68" t="s">
        <v>55</v>
      </c>
      <c r="D12" s="78"/>
      <c r="E12" s="70"/>
      <c r="F12" s="51"/>
      <c r="G12" s="160" t="s">
        <v>53</v>
      </c>
      <c r="H12" s="161"/>
      <c r="I12" s="162"/>
      <c r="J12" s="71" t="s">
        <v>54</v>
      </c>
      <c r="K12" s="31">
        <v>233.53</v>
      </c>
      <c r="L12" s="19">
        <v>19</v>
      </c>
      <c r="M12" s="54"/>
      <c r="N12" s="37">
        <v>19</v>
      </c>
      <c r="O12" s="38">
        <f>N12*K12</f>
        <v>4437.07</v>
      </c>
      <c r="P12" s="37">
        <v>0</v>
      </c>
      <c r="Q12" s="38">
        <f>P12*K12</f>
        <v>0</v>
      </c>
      <c r="R12" s="37">
        <v>0</v>
      </c>
      <c r="S12" s="38">
        <f>R12*K12</f>
        <v>0</v>
      </c>
      <c r="T12" s="37">
        <v>0</v>
      </c>
      <c r="U12" s="72">
        <f>T12*K12</f>
        <v>0</v>
      </c>
      <c r="V12" s="73"/>
      <c r="W12" s="72"/>
      <c r="X12" s="74"/>
      <c r="Y12" s="75"/>
      <c r="Z12" s="73">
        <v>0</v>
      </c>
      <c r="AA12" s="72">
        <v>0</v>
      </c>
      <c r="AB12" s="42"/>
      <c r="AC12" s="43"/>
      <c r="AD12" s="73"/>
      <c r="AE12" s="72"/>
      <c r="AF12" s="72"/>
      <c r="AG12" s="72"/>
      <c r="AH12" s="42"/>
      <c r="AI12" s="43"/>
      <c r="AJ12" s="45">
        <f t="shared" si="9"/>
        <v>19</v>
      </c>
      <c r="AK12" s="24">
        <f t="shared" si="10"/>
        <v>0</v>
      </c>
      <c r="AL12" s="46">
        <f t="shared" si="11"/>
        <v>0</v>
      </c>
      <c r="AM12" s="47">
        <f t="shared" si="12"/>
        <v>19</v>
      </c>
      <c r="AN12" s="47">
        <f t="shared" si="13"/>
        <v>4437.07</v>
      </c>
      <c r="AO12" s="47">
        <f t="shared" si="14"/>
        <v>0</v>
      </c>
      <c r="AP12" s="48">
        <f>(AM12*K12)</f>
        <v>4437.07</v>
      </c>
      <c r="AQ12" s="54"/>
      <c r="AR12" s="76"/>
      <c r="AS12" s="77"/>
      <c r="AT12" s="77"/>
    </row>
    <row r="13" spans="1:47" x14ac:dyDescent="0.35">
      <c r="A13" s="167"/>
      <c r="B13" s="150"/>
      <c r="C13" s="51" t="s">
        <v>49</v>
      </c>
      <c r="D13" s="52"/>
      <c r="E13" s="51"/>
      <c r="F13" s="163" t="s">
        <v>49</v>
      </c>
      <c r="G13" s="163"/>
      <c r="H13" s="163"/>
      <c r="I13" s="163"/>
      <c r="J13" s="163"/>
      <c r="K13" s="163"/>
      <c r="L13" s="163"/>
      <c r="M13" s="54">
        <f t="shared" ref="M13:AL13" si="15">SUM(M11:M12)</f>
        <v>0</v>
      </c>
      <c r="N13" s="54">
        <f t="shared" si="15"/>
        <v>61</v>
      </c>
      <c r="O13" s="55">
        <f t="shared" si="15"/>
        <v>13238.17</v>
      </c>
      <c r="P13" s="54">
        <f t="shared" si="15"/>
        <v>0</v>
      </c>
      <c r="Q13" s="55">
        <f t="shared" si="15"/>
        <v>0</v>
      </c>
      <c r="R13" s="54">
        <f t="shared" si="15"/>
        <v>0</v>
      </c>
      <c r="S13" s="55">
        <f t="shared" si="15"/>
        <v>0</v>
      </c>
      <c r="T13" s="54">
        <f t="shared" si="15"/>
        <v>-14</v>
      </c>
      <c r="U13" s="55">
        <f t="shared" si="15"/>
        <v>-2933.7000000000003</v>
      </c>
      <c r="V13" s="54">
        <f t="shared" si="15"/>
        <v>0</v>
      </c>
      <c r="W13" s="55">
        <f t="shared" si="15"/>
        <v>0</v>
      </c>
      <c r="X13" s="54">
        <f>SUM(X11:X12)</f>
        <v>14</v>
      </c>
      <c r="Y13" s="57">
        <f>SUM(Y11:Y12)</f>
        <v>2870</v>
      </c>
      <c r="Z13" s="58">
        <f>SUM(Z11:Z12)</f>
        <v>0</v>
      </c>
      <c r="AA13" s="55">
        <f>SUM(AA11:AA12)</f>
        <v>0</v>
      </c>
      <c r="AB13" s="59"/>
      <c r="AC13" s="60"/>
      <c r="AD13" s="58"/>
      <c r="AE13" s="55"/>
      <c r="AF13" s="55"/>
      <c r="AG13" s="55"/>
      <c r="AH13" s="59"/>
      <c r="AI13" s="60"/>
      <c r="AJ13" s="79">
        <f>SUM(AJ11:AJ12)</f>
        <v>47</v>
      </c>
      <c r="AK13" s="58">
        <f>SUM(AK11:AK12)</f>
        <v>14</v>
      </c>
      <c r="AL13" s="54">
        <f t="shared" si="15"/>
        <v>0</v>
      </c>
      <c r="AM13" s="54">
        <f>SUM(AM11:AM12)</f>
        <v>61</v>
      </c>
      <c r="AN13" s="54">
        <f t="shared" ref="AN13:AO13" si="16">SUM(AN11:AN12)</f>
        <v>10304.470000000001</v>
      </c>
      <c r="AO13" s="54">
        <f t="shared" si="16"/>
        <v>2933.7000000000003</v>
      </c>
      <c r="AP13" s="55">
        <f>SUM(AP11:AP12)+191</f>
        <v>13429.17</v>
      </c>
      <c r="AQ13" s="54">
        <f>AA13*160</f>
        <v>0</v>
      </c>
      <c r="AR13" s="54">
        <f>AP13*160</f>
        <v>2148667.2000000002</v>
      </c>
    </row>
    <row r="14" spans="1:47" x14ac:dyDescent="0.35">
      <c r="A14" s="8"/>
      <c r="B14" s="28"/>
      <c r="C14" s="51"/>
      <c r="D14" s="52"/>
      <c r="E14" s="51"/>
      <c r="F14" s="53"/>
      <c r="G14" s="53"/>
      <c r="H14" s="53"/>
      <c r="I14" s="53"/>
      <c r="J14" s="53"/>
      <c r="K14" s="53"/>
      <c r="L14" s="53"/>
      <c r="M14" s="54"/>
      <c r="N14" s="54"/>
      <c r="O14" s="55"/>
      <c r="P14" s="54"/>
      <c r="Q14" s="55"/>
      <c r="R14" s="54"/>
      <c r="S14" s="55"/>
      <c r="T14" s="54"/>
      <c r="U14" s="55"/>
      <c r="V14" s="54"/>
      <c r="W14" s="55"/>
      <c r="X14" s="54"/>
      <c r="Y14" s="57"/>
      <c r="Z14" s="58"/>
      <c r="AA14" s="55"/>
      <c r="AB14" s="59"/>
      <c r="AC14" s="60"/>
      <c r="AD14" s="58"/>
      <c r="AE14" s="55"/>
      <c r="AF14" s="55"/>
      <c r="AG14" s="55"/>
      <c r="AH14" s="59"/>
      <c r="AI14" s="60"/>
      <c r="AJ14" s="79"/>
      <c r="AK14" s="58"/>
      <c r="AL14" s="54"/>
      <c r="AM14" s="54"/>
      <c r="AN14" s="54">
        <f>AN13+AN9</f>
        <v>271324.53000000003</v>
      </c>
      <c r="AO14" s="54">
        <f>AO13+AO9</f>
        <v>2933.7000000000003</v>
      </c>
      <c r="AP14" s="55">
        <f>AP13+AP9</f>
        <v>274449.23000000004</v>
      </c>
      <c r="AQ14" s="54"/>
      <c r="AR14" s="54"/>
      <c r="AS14" s="80">
        <v>275157.52</v>
      </c>
      <c r="AT14" s="80"/>
      <c r="AU14" s="81">
        <f>AS14-AP14</f>
        <v>708.28999999997905</v>
      </c>
    </row>
    <row r="15" spans="1:47" x14ac:dyDescent="0.35">
      <c r="A15" s="82"/>
      <c r="B15" s="83"/>
      <c r="C15" s="84"/>
      <c r="D15" s="85"/>
      <c r="E15" s="84"/>
      <c r="F15" s="84"/>
      <c r="G15" s="84"/>
      <c r="H15" s="84"/>
      <c r="I15" s="84"/>
      <c r="J15" s="84"/>
      <c r="K15" s="84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7"/>
      <c r="AK15" s="86"/>
      <c r="AL15" s="86"/>
      <c r="AM15" s="86"/>
      <c r="AN15" s="86"/>
      <c r="AO15" s="86"/>
      <c r="AP15" s="86"/>
      <c r="AQ15" s="86"/>
      <c r="AR15" s="88"/>
      <c r="AS15" s="89"/>
      <c r="AT15" s="89"/>
    </row>
    <row r="16" spans="1:47" ht="13.2" customHeight="1" x14ac:dyDescent="0.35">
      <c r="A16" s="167" t="s">
        <v>56</v>
      </c>
      <c r="B16" s="150" t="s">
        <v>37</v>
      </c>
      <c r="C16" s="90" t="s">
        <v>57</v>
      </c>
      <c r="D16" s="91"/>
      <c r="E16" s="90"/>
      <c r="F16" s="71" t="s">
        <v>58</v>
      </c>
      <c r="G16" s="160" t="s">
        <v>53</v>
      </c>
      <c r="H16" s="161"/>
      <c r="I16" s="162"/>
      <c r="J16" s="71" t="s">
        <v>59</v>
      </c>
      <c r="K16" s="71">
        <v>675.35</v>
      </c>
      <c r="L16" s="92">
        <v>27</v>
      </c>
      <c r="M16" s="93">
        <v>1</v>
      </c>
      <c r="N16" s="37">
        <v>28</v>
      </c>
      <c r="O16" s="38">
        <f>N16*K16</f>
        <v>18909.8</v>
      </c>
      <c r="P16" s="37">
        <v>-3</v>
      </c>
      <c r="Q16" s="38">
        <f>P16*K16</f>
        <v>-2026.0500000000002</v>
      </c>
      <c r="R16" s="93">
        <v>1</v>
      </c>
      <c r="S16" s="38">
        <f>R16*K16</f>
        <v>675.35</v>
      </c>
      <c r="T16" s="37">
        <v>0</v>
      </c>
      <c r="U16" s="38">
        <f>T16*K16</f>
        <v>0</v>
      </c>
      <c r="V16" s="39">
        <v>0</v>
      </c>
      <c r="W16" s="38">
        <f>V16*K16</f>
        <v>0</v>
      </c>
      <c r="X16" s="40"/>
      <c r="Y16" s="41"/>
      <c r="Z16" s="73">
        <v>0</v>
      </c>
      <c r="AA16" s="38">
        <v>0</v>
      </c>
      <c r="AB16" s="94"/>
      <c r="AC16" s="95"/>
      <c r="AD16" s="73">
        <v>0</v>
      </c>
      <c r="AE16" s="38"/>
      <c r="AF16" s="38"/>
      <c r="AG16" s="38"/>
      <c r="AH16" s="94"/>
      <c r="AI16" s="95"/>
      <c r="AJ16" s="45">
        <f t="shared" ref="AJ16:AJ19" si="17">N16+P16+R16+T16+V16+Z16+AD16+AF16</f>
        <v>26</v>
      </c>
      <c r="AK16" s="24">
        <f t="shared" ref="AK16:AK21" si="18">X16+AB16+AH16</f>
        <v>0</v>
      </c>
      <c r="AL16" s="46">
        <f t="shared" ref="AL16:AL21" si="19">L16-(M16+N16+P16+R16+T16+V16+X16+Z16+AB16+AD16+AF16+AH16)</f>
        <v>0</v>
      </c>
      <c r="AM16" s="47">
        <f t="shared" ref="AM16:AM21" si="20">N16+P16+R16+T16+V16+X16+Z16+AB16+AD16+AF16+AH16</f>
        <v>26</v>
      </c>
      <c r="AN16" s="47">
        <f t="shared" ref="AN16:AN21" si="21">AJ16*K16</f>
        <v>17559.100000000002</v>
      </c>
      <c r="AO16" s="47">
        <f t="shared" ref="AO16:AO21" si="22">AK16*K16</f>
        <v>0</v>
      </c>
      <c r="AP16" s="48">
        <f t="shared" ref="AP16:AP21" si="23">AM16*K16</f>
        <v>17559.100000000002</v>
      </c>
      <c r="AQ16" s="46"/>
      <c r="AR16" s="82"/>
    </row>
    <row r="17" spans="1:48" ht="13.2" customHeight="1" x14ac:dyDescent="0.35">
      <c r="A17" s="167"/>
      <c r="B17" s="150"/>
      <c r="C17" s="96" t="s">
        <v>60</v>
      </c>
      <c r="D17" s="91"/>
      <c r="E17" s="90"/>
      <c r="F17" s="71"/>
      <c r="G17" s="160" t="s">
        <v>53</v>
      </c>
      <c r="H17" s="161"/>
      <c r="I17" s="162"/>
      <c r="J17" s="71"/>
      <c r="K17" s="71">
        <v>485.5</v>
      </c>
      <c r="L17" s="92"/>
      <c r="M17" s="93"/>
      <c r="N17" s="37"/>
      <c r="O17" s="38"/>
      <c r="P17" s="37"/>
      <c r="Q17" s="38"/>
      <c r="R17" s="93"/>
      <c r="S17" s="38"/>
      <c r="T17" s="37"/>
      <c r="U17" s="38"/>
      <c r="V17" s="39"/>
      <c r="W17" s="38"/>
      <c r="X17" s="40"/>
      <c r="Y17" s="41"/>
      <c r="Z17" s="73"/>
      <c r="AA17" s="38"/>
      <c r="AB17" s="94"/>
      <c r="AC17" s="95"/>
      <c r="AD17" s="73"/>
      <c r="AE17" s="38"/>
      <c r="AF17" s="38">
        <v>2</v>
      </c>
      <c r="AG17" s="38"/>
      <c r="AH17" s="94"/>
      <c r="AI17" s="95"/>
      <c r="AJ17" s="45">
        <f t="shared" si="17"/>
        <v>2</v>
      </c>
      <c r="AK17" s="24">
        <f t="shared" si="18"/>
        <v>0</v>
      </c>
      <c r="AL17" s="46">
        <f t="shared" si="19"/>
        <v>-2</v>
      </c>
      <c r="AM17" s="47">
        <f t="shared" si="20"/>
        <v>2</v>
      </c>
      <c r="AN17" s="47">
        <f t="shared" si="21"/>
        <v>971</v>
      </c>
      <c r="AO17" s="47">
        <f t="shared" si="22"/>
        <v>0</v>
      </c>
      <c r="AP17" s="48">
        <f t="shared" si="23"/>
        <v>971</v>
      </c>
      <c r="AQ17" s="46"/>
      <c r="AR17" s="82"/>
    </row>
    <row r="18" spans="1:48" ht="24" x14ac:dyDescent="0.35">
      <c r="A18" s="167"/>
      <c r="B18" s="150"/>
      <c r="C18" s="29" t="s">
        <v>61</v>
      </c>
      <c r="D18" s="30"/>
      <c r="E18" s="29" t="s">
        <v>47</v>
      </c>
      <c r="F18" s="97" t="s">
        <v>62</v>
      </c>
      <c r="G18" s="160" t="s">
        <v>53</v>
      </c>
      <c r="H18" s="161"/>
      <c r="I18" s="162"/>
      <c r="J18" s="35">
        <v>0.97199999999999998</v>
      </c>
      <c r="K18" s="82">
        <v>683.21</v>
      </c>
      <c r="L18" s="98">
        <v>108</v>
      </c>
      <c r="M18" s="37"/>
      <c r="N18" s="37">
        <v>24</v>
      </c>
      <c r="O18" s="38">
        <f>N18*K18</f>
        <v>16397.04</v>
      </c>
      <c r="P18" s="37"/>
      <c r="Q18" s="38">
        <f>P18*K18</f>
        <v>0</v>
      </c>
      <c r="R18" s="37">
        <v>51</v>
      </c>
      <c r="S18" s="38">
        <f>R18*K18</f>
        <v>34843.71</v>
      </c>
      <c r="T18" s="37">
        <f>96-R18-N18</f>
        <v>21</v>
      </c>
      <c r="U18" s="38">
        <f>T18*K18</f>
        <v>14347.41</v>
      </c>
      <c r="V18" s="39">
        <v>17</v>
      </c>
      <c r="W18" s="38">
        <f>V18*K18</f>
        <v>11614.57</v>
      </c>
      <c r="X18" s="40"/>
      <c r="Y18" s="41"/>
      <c r="Z18" s="73">
        <v>0</v>
      </c>
      <c r="AA18" s="38">
        <v>0</v>
      </c>
      <c r="AB18" s="42"/>
      <c r="AC18" s="43"/>
      <c r="AD18" s="73">
        <v>1</v>
      </c>
      <c r="AE18" s="38">
        <f>AD18*K18</f>
        <v>683.21</v>
      </c>
      <c r="AF18" s="38">
        <v>-6</v>
      </c>
      <c r="AG18" s="38"/>
      <c r="AH18" s="42"/>
      <c r="AI18" s="43"/>
      <c r="AJ18" s="45">
        <f t="shared" si="17"/>
        <v>108</v>
      </c>
      <c r="AK18" s="24">
        <f t="shared" si="18"/>
        <v>0</v>
      </c>
      <c r="AL18" s="46">
        <f t="shared" si="19"/>
        <v>0</v>
      </c>
      <c r="AM18" s="47">
        <f t="shared" si="20"/>
        <v>108</v>
      </c>
      <c r="AN18" s="47">
        <f t="shared" si="21"/>
        <v>73786.680000000008</v>
      </c>
      <c r="AO18" s="47">
        <f t="shared" si="22"/>
        <v>0</v>
      </c>
      <c r="AP18" s="48">
        <f t="shared" si="23"/>
        <v>73786.680000000008</v>
      </c>
      <c r="AQ18" s="46"/>
      <c r="AR18" s="82"/>
      <c r="AU18" s="1" t="s">
        <v>63</v>
      </c>
    </row>
    <row r="19" spans="1:48" x14ac:dyDescent="0.35">
      <c r="A19" s="167"/>
      <c r="B19" s="150"/>
      <c r="C19" s="92" t="s">
        <v>64</v>
      </c>
      <c r="D19" s="99"/>
      <c r="E19" s="92"/>
      <c r="F19" s="93" t="s">
        <v>65</v>
      </c>
      <c r="G19" s="168" t="s">
        <v>66</v>
      </c>
      <c r="H19" s="169"/>
      <c r="I19" s="170"/>
      <c r="J19" s="100">
        <v>0</v>
      </c>
      <c r="K19" s="37"/>
      <c r="L19" s="101">
        <v>69</v>
      </c>
      <c r="M19" s="37"/>
      <c r="N19" s="37"/>
      <c r="O19" s="38"/>
      <c r="P19" s="37"/>
      <c r="Q19" s="38">
        <f>P19*K19</f>
        <v>0</v>
      </c>
      <c r="R19" s="37"/>
      <c r="S19" s="38">
        <f>R19*K19</f>
        <v>0</v>
      </c>
      <c r="T19" s="37">
        <v>0</v>
      </c>
      <c r="U19" s="38">
        <f>T19*K19</f>
        <v>0</v>
      </c>
      <c r="V19" s="39">
        <v>0</v>
      </c>
      <c r="W19" s="38">
        <f>V19*K19</f>
        <v>0</v>
      </c>
      <c r="X19" s="40"/>
      <c r="Y19" s="41"/>
      <c r="Z19" s="73"/>
      <c r="AA19" s="38"/>
      <c r="AB19" s="94"/>
      <c r="AC19" s="95"/>
      <c r="AD19" s="73"/>
      <c r="AE19" s="38">
        <f>AD19*K19</f>
        <v>0</v>
      </c>
      <c r="AF19" s="38"/>
      <c r="AG19" s="38"/>
      <c r="AH19" s="94"/>
      <c r="AI19" s="95"/>
      <c r="AJ19" s="45">
        <f t="shared" si="17"/>
        <v>0</v>
      </c>
      <c r="AK19" s="24">
        <f t="shared" si="18"/>
        <v>0</v>
      </c>
      <c r="AL19" s="46">
        <f t="shared" si="19"/>
        <v>69</v>
      </c>
      <c r="AM19" s="47">
        <f t="shared" si="20"/>
        <v>0</v>
      </c>
      <c r="AN19" s="47">
        <f t="shared" si="21"/>
        <v>0</v>
      </c>
      <c r="AO19" s="47">
        <f t="shared" si="22"/>
        <v>0</v>
      </c>
      <c r="AP19" s="38">
        <f t="shared" si="23"/>
        <v>0</v>
      </c>
      <c r="AQ19" s="102"/>
      <c r="AR19" s="37"/>
      <c r="AS19" s="103"/>
      <c r="AT19" s="103"/>
      <c r="AU19" s="103"/>
      <c r="AV19" s="103"/>
    </row>
    <row r="20" spans="1:48" x14ac:dyDescent="0.35">
      <c r="A20" s="167"/>
      <c r="B20" s="150"/>
      <c r="C20" s="29" t="s">
        <v>67</v>
      </c>
      <c r="D20" s="30"/>
      <c r="E20" s="29" t="s">
        <v>68</v>
      </c>
      <c r="F20" s="31" t="s">
        <v>65</v>
      </c>
      <c r="G20" s="49">
        <v>45570</v>
      </c>
      <c r="H20" s="49">
        <v>45332</v>
      </c>
      <c r="I20" s="31" t="s">
        <v>69</v>
      </c>
      <c r="J20" s="35">
        <v>0.67</v>
      </c>
      <c r="K20" s="82">
        <v>696.14</v>
      </c>
      <c r="L20" s="98">
        <v>36</v>
      </c>
      <c r="M20" s="37">
        <v>2</v>
      </c>
      <c r="N20" s="37"/>
      <c r="O20" s="38"/>
      <c r="P20" s="37"/>
      <c r="Q20" s="38">
        <f>P20*K20</f>
        <v>0</v>
      </c>
      <c r="R20" s="37"/>
      <c r="S20" s="38">
        <f>R20*K20</f>
        <v>0</v>
      </c>
      <c r="T20" s="37">
        <v>1</v>
      </c>
      <c r="U20" s="38">
        <f>T20*K20</f>
        <v>696.14</v>
      </c>
      <c r="V20" s="39">
        <v>0</v>
      </c>
      <c r="W20" s="38">
        <f>V20*K20</f>
        <v>0</v>
      </c>
      <c r="X20" s="40"/>
      <c r="Y20" s="41"/>
      <c r="Z20" s="73">
        <v>25</v>
      </c>
      <c r="AA20" s="38">
        <f>Z20*689.6</f>
        <v>17240</v>
      </c>
      <c r="AB20" s="42"/>
      <c r="AC20" s="43"/>
      <c r="AD20" s="73"/>
      <c r="AE20" s="38">
        <f>AD20*K20</f>
        <v>0</v>
      </c>
      <c r="AF20" s="38">
        <v>3</v>
      </c>
      <c r="AG20" s="38"/>
      <c r="AH20" s="42"/>
      <c r="AI20" s="43"/>
      <c r="AJ20" s="45">
        <f>N20+P20+R20+T20+V20+Z20+AD20+AF20</f>
        <v>29</v>
      </c>
      <c r="AK20" s="24">
        <f t="shared" si="18"/>
        <v>0</v>
      </c>
      <c r="AL20" s="46">
        <f t="shared" si="19"/>
        <v>5</v>
      </c>
      <c r="AM20" s="47">
        <f t="shared" si="20"/>
        <v>29</v>
      </c>
      <c r="AN20" s="47">
        <f t="shared" si="21"/>
        <v>20188.060000000001</v>
      </c>
      <c r="AO20" s="47">
        <f t="shared" si="22"/>
        <v>0</v>
      </c>
      <c r="AP20" s="48">
        <f t="shared" si="23"/>
        <v>20188.060000000001</v>
      </c>
      <c r="AQ20" s="46"/>
      <c r="AR20" s="82"/>
    </row>
    <row r="21" spans="1:48" x14ac:dyDescent="0.35">
      <c r="A21" s="167"/>
      <c r="B21" s="150"/>
      <c r="C21" s="29" t="s">
        <v>70</v>
      </c>
      <c r="D21" s="30"/>
      <c r="E21" s="29"/>
      <c r="F21" s="31"/>
      <c r="G21" s="160" t="s">
        <v>53</v>
      </c>
      <c r="H21" s="161"/>
      <c r="I21" s="162"/>
      <c r="J21" s="35"/>
      <c r="K21" s="82">
        <v>764</v>
      </c>
      <c r="L21" s="98"/>
      <c r="M21" s="37"/>
      <c r="N21" s="37"/>
      <c r="O21" s="38"/>
      <c r="P21" s="37"/>
      <c r="Q21" s="38"/>
      <c r="R21" s="37"/>
      <c r="S21" s="38"/>
      <c r="T21" s="37">
        <v>1</v>
      </c>
      <c r="U21" s="38">
        <f>T21*K21</f>
        <v>764</v>
      </c>
      <c r="V21" s="39"/>
      <c r="W21" s="38"/>
      <c r="X21" s="40"/>
      <c r="Y21" s="41"/>
      <c r="Z21" s="73"/>
      <c r="AA21" s="38"/>
      <c r="AB21" s="42"/>
      <c r="AC21" s="43"/>
      <c r="AD21" s="73"/>
      <c r="AE21" s="38"/>
      <c r="AF21" s="38"/>
      <c r="AG21" s="38"/>
      <c r="AH21" s="42"/>
      <c r="AI21" s="43"/>
      <c r="AJ21" s="45">
        <f t="shared" ref="AJ21" si="24">N21+P21+R21+T21+V21+Z21+AD21+AF21</f>
        <v>1</v>
      </c>
      <c r="AK21" s="24">
        <f t="shared" si="18"/>
        <v>0</v>
      </c>
      <c r="AL21" s="46">
        <f t="shared" si="19"/>
        <v>-1</v>
      </c>
      <c r="AM21" s="47">
        <f t="shared" si="20"/>
        <v>1</v>
      </c>
      <c r="AN21" s="47">
        <f t="shared" si="21"/>
        <v>764</v>
      </c>
      <c r="AO21" s="47">
        <f t="shared" si="22"/>
        <v>0</v>
      </c>
      <c r="AP21" s="48">
        <f t="shared" si="23"/>
        <v>764</v>
      </c>
      <c r="AQ21" s="46"/>
      <c r="AR21" s="82"/>
    </row>
    <row r="22" spans="1:48" x14ac:dyDescent="0.35">
      <c r="A22" s="167"/>
      <c r="B22" s="150"/>
      <c r="C22" s="51" t="s">
        <v>49</v>
      </c>
      <c r="D22" s="52"/>
      <c r="E22" s="51"/>
      <c r="F22" s="163" t="s">
        <v>49</v>
      </c>
      <c r="G22" s="163"/>
      <c r="H22" s="163"/>
      <c r="I22" s="163"/>
      <c r="J22" s="163"/>
      <c r="K22" s="163"/>
      <c r="L22" s="163"/>
      <c r="M22" s="54">
        <f t="shared" ref="M22:AP22" si="25">SUM(M16:M20)</f>
        <v>3</v>
      </c>
      <c r="N22" s="54">
        <f t="shared" si="25"/>
        <v>52</v>
      </c>
      <c r="O22" s="55">
        <f t="shared" si="25"/>
        <v>35306.839999999997</v>
      </c>
      <c r="P22" s="54">
        <f t="shared" si="25"/>
        <v>-3</v>
      </c>
      <c r="Q22" s="55">
        <f t="shared" si="25"/>
        <v>-2026.0500000000002</v>
      </c>
      <c r="R22" s="54">
        <f t="shared" si="25"/>
        <v>52</v>
      </c>
      <c r="S22" s="55">
        <f t="shared" si="25"/>
        <v>35519.06</v>
      </c>
      <c r="T22" s="54">
        <f>SUM(T16:T21)</f>
        <v>23</v>
      </c>
      <c r="U22" s="55">
        <f>SUM(U16:U21)</f>
        <v>15807.55</v>
      </c>
      <c r="V22" s="54">
        <f t="shared" si="25"/>
        <v>17</v>
      </c>
      <c r="W22" s="55">
        <f t="shared" si="25"/>
        <v>11614.57</v>
      </c>
      <c r="X22" s="54">
        <f>SUM(X16:X20)</f>
        <v>0</v>
      </c>
      <c r="Y22" s="57">
        <f>SUM(Y16:Y20)</f>
        <v>0</v>
      </c>
      <c r="Z22" s="54">
        <f>SUM(Z16:Z20)</f>
        <v>25</v>
      </c>
      <c r="AA22" s="55">
        <f>SUM(AA16:AA20)</f>
        <v>17240</v>
      </c>
      <c r="AB22" s="59"/>
      <c r="AC22" s="60"/>
      <c r="AD22" s="54">
        <f>SUM(AD16:AD20)</f>
        <v>1</v>
      </c>
      <c r="AE22" s="55">
        <f>SUM(AE16:AE20)</f>
        <v>683.21</v>
      </c>
      <c r="AF22" s="55"/>
      <c r="AG22" s="55"/>
      <c r="AH22" s="59"/>
      <c r="AI22" s="60"/>
      <c r="AJ22" s="79">
        <f>SUM(AJ16:AJ20)</f>
        <v>165</v>
      </c>
      <c r="AK22" s="58">
        <f>SUM(AK16:AK20)</f>
        <v>0</v>
      </c>
      <c r="AL22" s="54">
        <f t="shared" si="25"/>
        <v>72</v>
      </c>
      <c r="AM22" s="54">
        <f>SUM(AM16:AM20)</f>
        <v>165</v>
      </c>
      <c r="AN22" s="54">
        <f t="shared" ref="AN22:AO22" si="26">SUM(AN16:AN20)</f>
        <v>112504.84000000001</v>
      </c>
      <c r="AO22" s="54">
        <f t="shared" si="26"/>
        <v>0</v>
      </c>
      <c r="AP22" s="55">
        <f t="shared" si="25"/>
        <v>112504.84000000001</v>
      </c>
      <c r="AQ22" s="54">
        <f>(AE22*160)+100000</f>
        <v>209313.6</v>
      </c>
      <c r="AR22" s="54">
        <f>AP22*160</f>
        <v>18000774.400000002</v>
      </c>
      <c r="AS22" s="61"/>
      <c r="AT22" s="61"/>
    </row>
    <row r="23" spans="1:48" ht="5.7" customHeight="1" x14ac:dyDescent="0.35">
      <c r="A23" s="167"/>
      <c r="B23" s="62"/>
      <c r="C23" s="63"/>
      <c r="D23" s="64"/>
      <c r="E23" s="63"/>
      <c r="F23" s="63"/>
      <c r="G23" s="63"/>
      <c r="H23" s="63"/>
      <c r="I23" s="63"/>
      <c r="J23" s="63"/>
      <c r="K23" s="63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6"/>
      <c r="AK23" s="65"/>
      <c r="AL23" s="65"/>
      <c r="AM23" s="65"/>
      <c r="AN23" s="65"/>
      <c r="AO23" s="65"/>
      <c r="AP23" s="65"/>
      <c r="AQ23" s="65"/>
      <c r="AR23" s="65"/>
      <c r="AS23" s="67"/>
      <c r="AT23" s="67"/>
    </row>
    <row r="24" spans="1:48" ht="16.5" customHeight="1" x14ac:dyDescent="0.35">
      <c r="A24" s="167"/>
      <c r="B24" s="150" t="s">
        <v>50</v>
      </c>
      <c r="C24" s="104" t="s">
        <v>71</v>
      </c>
      <c r="D24" s="69"/>
      <c r="E24" s="105"/>
      <c r="F24" s="106" t="s">
        <v>72</v>
      </c>
      <c r="G24" s="160" t="s">
        <v>73</v>
      </c>
      <c r="H24" s="161"/>
      <c r="I24" s="162"/>
      <c r="J24" s="71" t="s">
        <v>59</v>
      </c>
      <c r="K24" s="31">
        <v>219.67</v>
      </c>
      <c r="L24" s="37">
        <v>21</v>
      </c>
      <c r="M24" s="37"/>
      <c r="N24" s="37">
        <v>21</v>
      </c>
      <c r="O24" s="38">
        <f t="shared" ref="O24:O36" si="27">N24*K24</f>
        <v>4613.07</v>
      </c>
      <c r="P24" s="37"/>
      <c r="Q24" s="38">
        <f t="shared" ref="Q24:Q36" si="28">P24*K24</f>
        <v>0</v>
      </c>
      <c r="R24" s="37">
        <v>-2</v>
      </c>
      <c r="S24" s="38">
        <f t="shared" ref="S24:S36" si="29">R24*K24</f>
        <v>-439.34</v>
      </c>
      <c r="T24" s="37">
        <v>2</v>
      </c>
      <c r="U24" s="72">
        <f t="shared" ref="U24:U36" si="30">T24*K24</f>
        <v>439.34</v>
      </c>
      <c r="V24" s="39">
        <v>0</v>
      </c>
      <c r="W24" s="72">
        <f t="shared" ref="W24:W36" si="31">V24*K24</f>
        <v>0</v>
      </c>
      <c r="X24" s="74"/>
      <c r="Y24" s="75"/>
      <c r="Z24" s="73">
        <v>0</v>
      </c>
      <c r="AA24" s="72">
        <v>0</v>
      </c>
      <c r="AB24" s="42"/>
      <c r="AC24" s="43"/>
      <c r="AD24" s="73"/>
      <c r="AE24" s="72"/>
      <c r="AF24" s="72"/>
      <c r="AG24" s="72"/>
      <c r="AH24" s="42"/>
      <c r="AI24" s="43"/>
      <c r="AJ24" s="107">
        <f t="shared" ref="AJ24:AJ36" si="32">N24+P24+R24+T24+V24+Z24+AD24+AF24</f>
        <v>21</v>
      </c>
      <c r="AK24" s="42">
        <f t="shared" ref="AK24:AK36" si="33">X24+AB24+AH24</f>
        <v>0</v>
      </c>
      <c r="AL24" s="46">
        <f t="shared" ref="AL24:AL36" si="34">L24-(M24+N24+P24+R24+T24+V24+X24+Z24+AB24+AD24+AF24+AH24)</f>
        <v>0</v>
      </c>
      <c r="AM24" s="47">
        <f t="shared" ref="AM24:AM36" si="35">N24+P24+R24+T24+V24+X24+Z24+AB24+AD24+AF24+AH24</f>
        <v>21</v>
      </c>
      <c r="AN24" s="47">
        <f t="shared" ref="AN24:AN36" si="36">AJ24*K24</f>
        <v>4613.07</v>
      </c>
      <c r="AO24" s="47">
        <f t="shared" ref="AO24:AO36" si="37">AK24*K24</f>
        <v>0</v>
      </c>
      <c r="AP24" s="48">
        <f t="shared" ref="AP24:AP31" si="38">(AM24*K24)+Y24</f>
        <v>4613.07</v>
      </c>
      <c r="AQ24" s="46"/>
      <c r="AR24" s="82"/>
    </row>
    <row r="25" spans="1:48" x14ac:dyDescent="0.35">
      <c r="A25" s="167"/>
      <c r="B25" s="150"/>
      <c r="C25" s="104" t="s">
        <v>74</v>
      </c>
      <c r="D25" s="69"/>
      <c r="E25" s="105"/>
      <c r="F25" s="106" t="s">
        <v>72</v>
      </c>
      <c r="G25" s="160" t="s">
        <v>73</v>
      </c>
      <c r="H25" s="161"/>
      <c r="I25" s="162"/>
      <c r="J25" s="71" t="s">
        <v>59</v>
      </c>
      <c r="K25" s="31">
        <v>236.62</v>
      </c>
      <c r="L25" s="37">
        <v>22</v>
      </c>
      <c r="M25" s="37"/>
      <c r="N25" s="37">
        <v>20</v>
      </c>
      <c r="O25" s="38">
        <f t="shared" si="27"/>
        <v>4732.3999999999996</v>
      </c>
      <c r="P25" s="37"/>
      <c r="Q25" s="38">
        <f t="shared" si="28"/>
        <v>0</v>
      </c>
      <c r="R25" s="37">
        <v>0</v>
      </c>
      <c r="S25" s="38">
        <f t="shared" si="29"/>
        <v>0</v>
      </c>
      <c r="T25" s="37">
        <v>2</v>
      </c>
      <c r="U25" s="72">
        <f t="shared" si="30"/>
        <v>473.24</v>
      </c>
      <c r="V25" s="39">
        <v>0</v>
      </c>
      <c r="W25" s="72">
        <f t="shared" si="31"/>
        <v>0</v>
      </c>
      <c r="X25" s="74"/>
      <c r="Y25" s="75"/>
      <c r="Z25" s="73">
        <v>0</v>
      </c>
      <c r="AA25" s="72">
        <v>0</v>
      </c>
      <c r="AB25" s="42"/>
      <c r="AC25" s="43"/>
      <c r="AD25" s="73"/>
      <c r="AE25" s="72"/>
      <c r="AF25" s="72">
        <v>-1</v>
      </c>
      <c r="AG25" s="72"/>
      <c r="AH25" s="42"/>
      <c r="AI25" s="43"/>
      <c r="AJ25" s="45">
        <f t="shared" si="32"/>
        <v>21</v>
      </c>
      <c r="AK25" s="24">
        <f t="shared" si="33"/>
        <v>0</v>
      </c>
      <c r="AL25" s="46">
        <f t="shared" si="34"/>
        <v>1</v>
      </c>
      <c r="AM25" s="47">
        <f t="shared" si="35"/>
        <v>21</v>
      </c>
      <c r="AN25" s="47">
        <f t="shared" si="36"/>
        <v>4969.0200000000004</v>
      </c>
      <c r="AO25" s="47">
        <f t="shared" si="37"/>
        <v>0</v>
      </c>
      <c r="AP25" s="48">
        <f t="shared" si="38"/>
        <v>4969.0200000000004</v>
      </c>
      <c r="AQ25" s="46"/>
      <c r="AR25" s="82"/>
    </row>
    <row r="26" spans="1:48" ht="14.25" customHeight="1" x14ac:dyDescent="0.35">
      <c r="A26" s="167"/>
      <c r="B26" s="150"/>
      <c r="C26" s="104" t="s">
        <v>75</v>
      </c>
      <c r="D26" s="69" t="s">
        <v>76</v>
      </c>
      <c r="E26" s="105"/>
      <c r="F26" s="106" t="s">
        <v>72</v>
      </c>
      <c r="G26" s="160" t="s">
        <v>77</v>
      </c>
      <c r="H26" s="161"/>
      <c r="I26" s="162"/>
      <c r="J26" s="71" t="s">
        <v>59</v>
      </c>
      <c r="K26" s="31">
        <v>238.85</v>
      </c>
      <c r="L26" s="82">
        <v>54</v>
      </c>
      <c r="M26" s="108"/>
      <c r="N26" s="37">
        <v>29</v>
      </c>
      <c r="O26" s="38">
        <f t="shared" si="27"/>
        <v>6926.65</v>
      </c>
      <c r="P26" s="37"/>
      <c r="Q26" s="38">
        <f t="shared" si="28"/>
        <v>0</v>
      </c>
      <c r="R26" s="37">
        <v>2</v>
      </c>
      <c r="S26" s="38">
        <f t="shared" si="29"/>
        <v>477.7</v>
      </c>
      <c r="T26" s="37">
        <v>-4</v>
      </c>
      <c r="U26" s="72">
        <f t="shared" si="30"/>
        <v>-955.4</v>
      </c>
      <c r="V26" s="39">
        <v>0</v>
      </c>
      <c r="W26" s="72">
        <f t="shared" si="31"/>
        <v>0</v>
      </c>
      <c r="X26" s="74">
        <f>4+20</f>
        <v>24</v>
      </c>
      <c r="Y26" s="75">
        <f>937+5657</f>
        <v>6594</v>
      </c>
      <c r="Z26" s="73">
        <v>0</v>
      </c>
      <c r="AA26" s="72">
        <v>0</v>
      </c>
      <c r="AB26" s="42"/>
      <c r="AC26" s="43"/>
      <c r="AD26" s="73">
        <v>3</v>
      </c>
      <c r="AE26" s="72">
        <f>K26</f>
        <v>238.85</v>
      </c>
      <c r="AF26" s="72"/>
      <c r="AG26" s="72"/>
      <c r="AH26" s="42"/>
      <c r="AI26" s="43"/>
      <c r="AJ26" s="45">
        <f t="shared" si="32"/>
        <v>30</v>
      </c>
      <c r="AK26" s="24">
        <f t="shared" si="33"/>
        <v>24</v>
      </c>
      <c r="AL26" s="46">
        <f t="shared" si="34"/>
        <v>0</v>
      </c>
      <c r="AM26" s="47">
        <f t="shared" si="35"/>
        <v>54</v>
      </c>
      <c r="AN26" s="47">
        <f t="shared" si="36"/>
        <v>7165.5</v>
      </c>
      <c r="AO26" s="47">
        <f t="shared" si="37"/>
        <v>5732.4</v>
      </c>
      <c r="AP26" s="48">
        <f>(AM26*K26)</f>
        <v>12897.9</v>
      </c>
      <c r="AQ26" s="46"/>
      <c r="AR26" s="82"/>
    </row>
    <row r="27" spans="1:48" x14ac:dyDescent="0.35">
      <c r="A27" s="167"/>
      <c r="B27" s="150"/>
      <c r="C27" s="104" t="s">
        <v>78</v>
      </c>
      <c r="D27" s="69"/>
      <c r="E27" s="105"/>
      <c r="F27" s="106" t="s">
        <v>72</v>
      </c>
      <c r="G27" s="160" t="s">
        <v>77</v>
      </c>
      <c r="H27" s="161"/>
      <c r="I27" s="162"/>
      <c r="J27" s="71" t="s">
        <v>59</v>
      </c>
      <c r="K27" s="31">
        <v>233.27</v>
      </c>
      <c r="L27" s="37">
        <v>22</v>
      </c>
      <c r="M27" s="37"/>
      <c r="N27" s="37"/>
      <c r="O27" s="38">
        <f t="shared" si="27"/>
        <v>0</v>
      </c>
      <c r="P27" s="37"/>
      <c r="Q27" s="38">
        <f t="shared" si="28"/>
        <v>0</v>
      </c>
      <c r="R27" s="37">
        <v>14</v>
      </c>
      <c r="S27" s="38">
        <f t="shared" si="29"/>
        <v>3265.78</v>
      </c>
      <c r="T27" s="37">
        <v>1</v>
      </c>
      <c r="U27" s="72">
        <f t="shared" si="30"/>
        <v>233.27</v>
      </c>
      <c r="V27" s="39">
        <v>7</v>
      </c>
      <c r="W27" s="72">
        <f t="shared" si="31"/>
        <v>1632.89</v>
      </c>
      <c r="X27" s="74"/>
      <c r="Y27" s="75"/>
      <c r="Z27" s="73">
        <v>0</v>
      </c>
      <c r="AA27" s="72">
        <v>0</v>
      </c>
      <c r="AB27" s="42"/>
      <c r="AC27" s="43"/>
      <c r="AD27" s="73"/>
      <c r="AE27" s="72"/>
      <c r="AF27" s="72"/>
      <c r="AG27" s="72"/>
      <c r="AH27" s="42"/>
      <c r="AI27" s="43"/>
      <c r="AJ27" s="45">
        <f t="shared" si="32"/>
        <v>22</v>
      </c>
      <c r="AK27" s="24">
        <f t="shared" si="33"/>
        <v>0</v>
      </c>
      <c r="AL27" s="46">
        <f t="shared" si="34"/>
        <v>0</v>
      </c>
      <c r="AM27" s="47">
        <f t="shared" si="35"/>
        <v>22</v>
      </c>
      <c r="AN27" s="47">
        <f t="shared" si="36"/>
        <v>5131.9400000000005</v>
      </c>
      <c r="AO27" s="47">
        <f t="shared" si="37"/>
        <v>0</v>
      </c>
      <c r="AP27" s="48">
        <f t="shared" si="38"/>
        <v>5131.9400000000005</v>
      </c>
      <c r="AQ27" s="46"/>
      <c r="AR27" s="82"/>
    </row>
    <row r="28" spans="1:48" x14ac:dyDescent="0.35">
      <c r="A28" s="167"/>
      <c r="B28" s="150"/>
      <c r="C28" s="104" t="s">
        <v>79</v>
      </c>
      <c r="D28" s="69"/>
      <c r="E28" s="105"/>
      <c r="F28" s="106" t="s">
        <v>72</v>
      </c>
      <c r="G28" s="160" t="s">
        <v>80</v>
      </c>
      <c r="H28" s="161"/>
      <c r="I28" s="162"/>
      <c r="J28" s="71" t="s">
        <v>59</v>
      </c>
      <c r="K28" s="31">
        <v>268.31</v>
      </c>
      <c r="L28" s="37">
        <v>26</v>
      </c>
      <c r="M28" s="37"/>
      <c r="N28" s="37"/>
      <c r="O28" s="38">
        <f t="shared" si="27"/>
        <v>0</v>
      </c>
      <c r="P28" s="37">
        <v>3</v>
      </c>
      <c r="Q28" s="38">
        <f t="shared" si="28"/>
        <v>804.93000000000006</v>
      </c>
      <c r="R28" s="37">
        <v>8</v>
      </c>
      <c r="S28" s="38">
        <f t="shared" si="29"/>
        <v>2146.48</v>
      </c>
      <c r="T28" s="37">
        <v>15</v>
      </c>
      <c r="U28" s="72">
        <f t="shared" si="30"/>
        <v>4024.65</v>
      </c>
      <c r="V28" s="39">
        <v>0</v>
      </c>
      <c r="W28" s="72">
        <f t="shared" si="31"/>
        <v>0</v>
      </c>
      <c r="X28" s="74"/>
      <c r="Y28" s="75"/>
      <c r="Z28" s="73">
        <v>0</v>
      </c>
      <c r="AA28" s="72">
        <v>0</v>
      </c>
      <c r="AB28" s="42"/>
      <c r="AC28" s="43"/>
      <c r="AD28" s="73"/>
      <c r="AE28" s="72"/>
      <c r="AF28" s="72">
        <v>-10</v>
      </c>
      <c r="AG28" s="72"/>
      <c r="AH28" s="42"/>
      <c r="AI28" s="43"/>
      <c r="AJ28" s="45">
        <f t="shared" si="32"/>
        <v>16</v>
      </c>
      <c r="AK28" s="24">
        <f t="shared" si="33"/>
        <v>0</v>
      </c>
      <c r="AL28" s="46">
        <f t="shared" si="34"/>
        <v>10</v>
      </c>
      <c r="AM28" s="47">
        <f t="shared" si="35"/>
        <v>16</v>
      </c>
      <c r="AN28" s="47">
        <f t="shared" si="36"/>
        <v>4292.96</v>
      </c>
      <c r="AO28" s="47">
        <f t="shared" si="37"/>
        <v>0</v>
      </c>
      <c r="AP28" s="48">
        <f>(AM28*K28)</f>
        <v>4292.96</v>
      </c>
      <c r="AQ28" s="46"/>
      <c r="AR28" s="82"/>
    </row>
    <row r="29" spans="1:48" x14ac:dyDescent="0.35">
      <c r="A29" s="167"/>
      <c r="B29" s="150"/>
      <c r="C29" s="104" t="s">
        <v>81</v>
      </c>
      <c r="D29" s="69" t="s">
        <v>82</v>
      </c>
      <c r="E29" s="105"/>
      <c r="F29" s="106" t="s">
        <v>72</v>
      </c>
      <c r="G29" s="160" t="s">
        <v>80</v>
      </c>
      <c r="H29" s="161"/>
      <c r="I29" s="162"/>
      <c r="J29" s="71" t="s">
        <v>59</v>
      </c>
      <c r="K29" s="31">
        <v>227.31</v>
      </c>
      <c r="L29" s="37">
        <v>39</v>
      </c>
      <c r="M29" s="37"/>
      <c r="N29" s="37"/>
      <c r="O29" s="38">
        <f t="shared" si="27"/>
        <v>0</v>
      </c>
      <c r="P29" s="37"/>
      <c r="Q29" s="38">
        <f t="shared" si="28"/>
        <v>0</v>
      </c>
      <c r="R29" s="37">
        <v>36</v>
      </c>
      <c r="S29" s="38">
        <f t="shared" si="29"/>
        <v>8183.16</v>
      </c>
      <c r="T29" s="37"/>
      <c r="U29" s="72">
        <f t="shared" si="30"/>
        <v>0</v>
      </c>
      <c r="V29" s="39">
        <v>0</v>
      </c>
      <c r="W29" s="72">
        <f t="shared" si="31"/>
        <v>0</v>
      </c>
      <c r="X29" s="74">
        <v>3</v>
      </c>
      <c r="Y29" s="75">
        <f>X29*205</f>
        <v>615</v>
      </c>
      <c r="Z29" s="73">
        <v>0</v>
      </c>
      <c r="AA29" s="72">
        <v>0</v>
      </c>
      <c r="AB29" s="42"/>
      <c r="AC29" s="43"/>
      <c r="AD29" s="73"/>
      <c r="AE29" s="72"/>
      <c r="AF29" s="72"/>
      <c r="AG29" s="72"/>
      <c r="AH29" s="42"/>
      <c r="AI29" s="43"/>
      <c r="AJ29" s="45">
        <f t="shared" si="32"/>
        <v>36</v>
      </c>
      <c r="AK29" s="24">
        <f t="shared" si="33"/>
        <v>3</v>
      </c>
      <c r="AL29" s="46">
        <f t="shared" si="34"/>
        <v>0</v>
      </c>
      <c r="AM29" s="47">
        <f t="shared" si="35"/>
        <v>39</v>
      </c>
      <c r="AN29" s="47">
        <f t="shared" si="36"/>
        <v>8183.16</v>
      </c>
      <c r="AO29" s="47">
        <f t="shared" si="37"/>
        <v>681.93000000000006</v>
      </c>
      <c r="AP29" s="48">
        <f>(AM29*K29)</f>
        <v>8865.09</v>
      </c>
      <c r="AQ29" s="46"/>
      <c r="AR29" s="82"/>
    </row>
    <row r="30" spans="1:48" x14ac:dyDescent="0.35">
      <c r="A30" s="167"/>
      <c r="B30" s="150"/>
      <c r="C30" s="104" t="s">
        <v>83</v>
      </c>
      <c r="D30" s="69"/>
      <c r="E30" s="105"/>
      <c r="F30" s="106" t="s">
        <v>84</v>
      </c>
      <c r="G30" s="160" t="s">
        <v>85</v>
      </c>
      <c r="H30" s="161"/>
      <c r="I30" s="162"/>
      <c r="J30" s="71" t="s">
        <v>59</v>
      </c>
      <c r="K30" s="31">
        <v>236.6</v>
      </c>
      <c r="L30" s="37">
        <v>13</v>
      </c>
      <c r="M30" s="37"/>
      <c r="N30" s="37">
        <v>5</v>
      </c>
      <c r="O30" s="38">
        <f t="shared" si="27"/>
        <v>1183</v>
      </c>
      <c r="P30" s="37">
        <v>1</v>
      </c>
      <c r="Q30" s="38">
        <f t="shared" si="28"/>
        <v>236.6</v>
      </c>
      <c r="R30" s="37">
        <v>-1</v>
      </c>
      <c r="S30" s="38">
        <f t="shared" si="29"/>
        <v>-236.6</v>
      </c>
      <c r="T30" s="37">
        <v>8</v>
      </c>
      <c r="U30" s="72">
        <f t="shared" si="30"/>
        <v>1892.8</v>
      </c>
      <c r="V30" s="39">
        <v>0</v>
      </c>
      <c r="W30" s="72">
        <f t="shared" si="31"/>
        <v>0</v>
      </c>
      <c r="X30" s="74"/>
      <c r="Y30" s="75"/>
      <c r="Z30" s="73">
        <v>0</v>
      </c>
      <c r="AA30" s="72">
        <v>0</v>
      </c>
      <c r="AB30" s="42"/>
      <c r="AC30" s="43"/>
      <c r="AD30" s="73"/>
      <c r="AE30" s="72"/>
      <c r="AF30" s="72"/>
      <c r="AG30" s="72"/>
      <c r="AH30" s="42"/>
      <c r="AI30" s="43"/>
      <c r="AJ30" s="45">
        <f t="shared" si="32"/>
        <v>13</v>
      </c>
      <c r="AK30" s="24">
        <f t="shared" si="33"/>
        <v>0</v>
      </c>
      <c r="AL30" s="46">
        <f t="shared" si="34"/>
        <v>0</v>
      </c>
      <c r="AM30" s="47">
        <f t="shared" si="35"/>
        <v>13</v>
      </c>
      <c r="AN30" s="47">
        <f t="shared" si="36"/>
        <v>3075.7999999999997</v>
      </c>
      <c r="AO30" s="47">
        <f t="shared" si="37"/>
        <v>0</v>
      </c>
      <c r="AP30" s="48">
        <f t="shared" si="38"/>
        <v>3075.7999999999997</v>
      </c>
      <c r="AQ30" s="46"/>
      <c r="AR30" s="82"/>
    </row>
    <row r="31" spans="1:48" x14ac:dyDescent="0.35">
      <c r="A31" s="167"/>
      <c r="B31" s="150"/>
      <c r="C31" s="104" t="s">
        <v>86</v>
      </c>
      <c r="D31" s="69"/>
      <c r="E31" s="105"/>
      <c r="F31" s="106" t="s">
        <v>84</v>
      </c>
      <c r="G31" s="160" t="s">
        <v>87</v>
      </c>
      <c r="H31" s="161"/>
      <c r="I31" s="162"/>
      <c r="J31" s="71" t="s">
        <v>59</v>
      </c>
      <c r="K31" s="31">
        <v>257.33</v>
      </c>
      <c r="L31" s="37">
        <v>39</v>
      </c>
      <c r="M31" s="37"/>
      <c r="N31" s="37">
        <v>23</v>
      </c>
      <c r="O31" s="38">
        <f t="shared" si="27"/>
        <v>5918.5899999999992</v>
      </c>
      <c r="P31" s="37"/>
      <c r="Q31" s="38">
        <f t="shared" si="28"/>
        <v>0</v>
      </c>
      <c r="R31" s="37">
        <v>0</v>
      </c>
      <c r="S31" s="38">
        <f t="shared" si="29"/>
        <v>0</v>
      </c>
      <c r="T31" s="37">
        <v>16</v>
      </c>
      <c r="U31" s="72">
        <f t="shared" si="30"/>
        <v>4117.28</v>
      </c>
      <c r="V31" s="39">
        <v>0</v>
      </c>
      <c r="W31" s="72">
        <f t="shared" si="31"/>
        <v>0</v>
      </c>
      <c r="X31" s="74"/>
      <c r="Y31" s="75"/>
      <c r="Z31" s="73">
        <v>0</v>
      </c>
      <c r="AA31" s="72">
        <v>0</v>
      </c>
      <c r="AB31" s="42"/>
      <c r="AC31" s="43"/>
      <c r="AD31" s="73"/>
      <c r="AE31" s="72"/>
      <c r="AF31" s="72"/>
      <c r="AG31" s="72"/>
      <c r="AH31" s="42"/>
      <c r="AI31" s="43"/>
      <c r="AJ31" s="45">
        <f t="shared" si="32"/>
        <v>39</v>
      </c>
      <c r="AK31" s="24">
        <f t="shared" si="33"/>
        <v>0</v>
      </c>
      <c r="AL31" s="46">
        <f t="shared" si="34"/>
        <v>0</v>
      </c>
      <c r="AM31" s="47">
        <f t="shared" si="35"/>
        <v>39</v>
      </c>
      <c r="AN31" s="47">
        <f t="shared" si="36"/>
        <v>10035.869999999999</v>
      </c>
      <c r="AO31" s="47">
        <f t="shared" si="37"/>
        <v>0</v>
      </c>
      <c r="AP31" s="48">
        <f t="shared" si="38"/>
        <v>10035.869999999999</v>
      </c>
      <c r="AQ31" s="46"/>
      <c r="AR31" s="82"/>
    </row>
    <row r="32" spans="1:48" x14ac:dyDescent="0.35">
      <c r="A32" s="167"/>
      <c r="B32" s="150"/>
      <c r="C32" s="104" t="s">
        <v>88</v>
      </c>
      <c r="D32" s="69" t="s">
        <v>89</v>
      </c>
      <c r="E32" s="105"/>
      <c r="F32" s="106" t="s">
        <v>84</v>
      </c>
      <c r="G32" s="160" t="s">
        <v>87</v>
      </c>
      <c r="H32" s="161"/>
      <c r="I32" s="162"/>
      <c r="J32" s="71" t="s">
        <v>59</v>
      </c>
      <c r="K32" s="31">
        <v>258.60000000000002</v>
      </c>
      <c r="L32" s="37">
        <v>42</v>
      </c>
      <c r="M32" s="37"/>
      <c r="N32" s="37">
        <v>20</v>
      </c>
      <c r="O32" s="38">
        <f t="shared" si="27"/>
        <v>5172</v>
      </c>
      <c r="P32" s="37"/>
      <c r="Q32" s="38">
        <f t="shared" si="28"/>
        <v>0</v>
      </c>
      <c r="R32" s="37">
        <v>0</v>
      </c>
      <c r="S32" s="38">
        <f t="shared" si="29"/>
        <v>0</v>
      </c>
      <c r="T32" s="37">
        <v>14</v>
      </c>
      <c r="U32" s="72">
        <f t="shared" si="30"/>
        <v>3620.4000000000005</v>
      </c>
      <c r="V32" s="39">
        <v>0</v>
      </c>
      <c r="W32" s="72">
        <f t="shared" si="31"/>
        <v>0</v>
      </c>
      <c r="X32" s="74">
        <f>6+1+1</f>
        <v>8</v>
      </c>
      <c r="Y32" s="75">
        <f>1426+448+230</f>
        <v>2104</v>
      </c>
      <c r="Z32" s="73">
        <v>0</v>
      </c>
      <c r="AA32" s="72">
        <v>0</v>
      </c>
      <c r="AB32" s="42"/>
      <c r="AC32" s="43"/>
      <c r="AD32" s="73"/>
      <c r="AE32" s="72"/>
      <c r="AF32" s="72"/>
      <c r="AG32" s="72"/>
      <c r="AH32" s="42"/>
      <c r="AI32" s="43"/>
      <c r="AJ32" s="45">
        <f t="shared" si="32"/>
        <v>34</v>
      </c>
      <c r="AK32" s="24">
        <f t="shared" si="33"/>
        <v>8</v>
      </c>
      <c r="AL32" s="46">
        <f t="shared" si="34"/>
        <v>0</v>
      </c>
      <c r="AM32" s="47">
        <f t="shared" si="35"/>
        <v>42</v>
      </c>
      <c r="AN32" s="47">
        <f t="shared" si="36"/>
        <v>8792.4000000000015</v>
      </c>
      <c r="AO32" s="47">
        <f t="shared" si="37"/>
        <v>2068.8000000000002</v>
      </c>
      <c r="AP32" s="48">
        <f>(AM32*K32)</f>
        <v>10861.2</v>
      </c>
      <c r="AQ32" s="46"/>
      <c r="AR32" s="82"/>
      <c r="AU32" s="1" t="s">
        <v>90</v>
      </c>
    </row>
    <row r="33" spans="1:48" x14ac:dyDescent="0.35">
      <c r="A33" s="167"/>
      <c r="B33" s="150"/>
      <c r="C33" s="109" t="s">
        <v>91</v>
      </c>
      <c r="D33" s="69"/>
      <c r="E33" s="105"/>
      <c r="F33" s="106" t="s">
        <v>84</v>
      </c>
      <c r="G33" s="160" t="s">
        <v>92</v>
      </c>
      <c r="H33" s="161"/>
      <c r="I33" s="162"/>
      <c r="J33" s="71" t="s">
        <v>59</v>
      </c>
      <c r="K33" s="31">
        <v>259.70999999999998</v>
      </c>
      <c r="L33" s="37">
        <v>17</v>
      </c>
      <c r="M33" s="37"/>
      <c r="N33" s="37"/>
      <c r="O33" s="38">
        <f t="shared" si="27"/>
        <v>0</v>
      </c>
      <c r="P33" s="37"/>
      <c r="Q33" s="38">
        <f t="shared" si="28"/>
        <v>0</v>
      </c>
      <c r="R33" s="37"/>
      <c r="S33" s="38">
        <f t="shared" si="29"/>
        <v>0</v>
      </c>
      <c r="T33" s="37">
        <v>17</v>
      </c>
      <c r="U33" s="72">
        <f t="shared" si="30"/>
        <v>4415.07</v>
      </c>
      <c r="V33" s="39">
        <v>0</v>
      </c>
      <c r="W33" s="72">
        <f t="shared" si="31"/>
        <v>0</v>
      </c>
      <c r="X33" s="74"/>
      <c r="Y33" s="75"/>
      <c r="Z33" s="73">
        <v>0</v>
      </c>
      <c r="AA33" s="72">
        <v>0</v>
      </c>
      <c r="AB33" s="42"/>
      <c r="AC33" s="43"/>
      <c r="AD33" s="73"/>
      <c r="AE33" s="72"/>
      <c r="AF33" s="72"/>
      <c r="AG33" s="72"/>
      <c r="AH33" s="42"/>
      <c r="AI33" s="43"/>
      <c r="AJ33" s="45">
        <f t="shared" si="32"/>
        <v>17</v>
      </c>
      <c r="AK33" s="24">
        <f t="shared" si="33"/>
        <v>0</v>
      </c>
      <c r="AL33" s="46">
        <f t="shared" si="34"/>
        <v>0</v>
      </c>
      <c r="AM33" s="47">
        <f t="shared" si="35"/>
        <v>17</v>
      </c>
      <c r="AN33" s="47">
        <f t="shared" si="36"/>
        <v>4415.07</v>
      </c>
      <c r="AO33" s="47">
        <f t="shared" si="37"/>
        <v>0</v>
      </c>
      <c r="AP33" s="48">
        <f>(AM33*K33)</f>
        <v>4415.07</v>
      </c>
      <c r="AQ33" s="46"/>
      <c r="AR33" s="82"/>
    </row>
    <row r="34" spans="1:48" x14ac:dyDescent="0.35">
      <c r="A34" s="167"/>
      <c r="B34" s="150"/>
      <c r="C34" s="109" t="s">
        <v>93</v>
      </c>
      <c r="D34" s="69"/>
      <c r="E34" s="105"/>
      <c r="F34" s="106" t="s">
        <v>84</v>
      </c>
      <c r="G34" s="160" t="s">
        <v>92</v>
      </c>
      <c r="H34" s="161"/>
      <c r="I34" s="162"/>
      <c r="J34" s="71" t="s">
        <v>59</v>
      </c>
      <c r="K34" s="31">
        <v>272.92</v>
      </c>
      <c r="L34" s="37">
        <v>14</v>
      </c>
      <c r="M34" s="37"/>
      <c r="N34" s="37"/>
      <c r="O34" s="38">
        <f t="shared" si="27"/>
        <v>0</v>
      </c>
      <c r="P34" s="37"/>
      <c r="Q34" s="38">
        <f t="shared" si="28"/>
        <v>0</v>
      </c>
      <c r="R34" s="37"/>
      <c r="S34" s="38">
        <f t="shared" si="29"/>
        <v>0</v>
      </c>
      <c r="T34" s="37">
        <v>14</v>
      </c>
      <c r="U34" s="72">
        <f t="shared" si="30"/>
        <v>3820.88</v>
      </c>
      <c r="V34" s="39">
        <v>0</v>
      </c>
      <c r="W34" s="72">
        <f t="shared" si="31"/>
        <v>0</v>
      </c>
      <c r="X34" s="74"/>
      <c r="Y34" s="75"/>
      <c r="Z34" s="73">
        <v>0</v>
      </c>
      <c r="AA34" s="72">
        <v>0</v>
      </c>
      <c r="AB34" s="42"/>
      <c r="AC34" s="43"/>
      <c r="AD34" s="73"/>
      <c r="AE34" s="72"/>
      <c r="AF34" s="72"/>
      <c r="AG34" s="72"/>
      <c r="AH34" s="42"/>
      <c r="AI34" s="43"/>
      <c r="AJ34" s="45">
        <f t="shared" si="32"/>
        <v>14</v>
      </c>
      <c r="AK34" s="24">
        <f t="shared" si="33"/>
        <v>0</v>
      </c>
      <c r="AL34" s="46">
        <f t="shared" si="34"/>
        <v>0</v>
      </c>
      <c r="AM34" s="47">
        <f t="shared" si="35"/>
        <v>14</v>
      </c>
      <c r="AN34" s="47">
        <f t="shared" si="36"/>
        <v>3820.88</v>
      </c>
      <c r="AO34" s="47">
        <f t="shared" si="37"/>
        <v>0</v>
      </c>
      <c r="AP34" s="48">
        <f>(AM34*K34)</f>
        <v>3820.88</v>
      </c>
      <c r="AQ34" s="46"/>
      <c r="AR34" s="82"/>
    </row>
    <row r="35" spans="1:48" x14ac:dyDescent="0.35">
      <c r="A35" s="167"/>
      <c r="B35" s="150"/>
      <c r="C35" s="104" t="s">
        <v>94</v>
      </c>
      <c r="D35" s="69" t="s">
        <v>95</v>
      </c>
      <c r="E35" s="105"/>
      <c r="F35" s="106" t="s">
        <v>84</v>
      </c>
      <c r="G35" s="160" t="s">
        <v>96</v>
      </c>
      <c r="H35" s="161"/>
      <c r="I35" s="162"/>
      <c r="J35" s="71" t="s">
        <v>59</v>
      </c>
      <c r="K35" s="31">
        <v>233.76</v>
      </c>
      <c r="L35" s="37">
        <v>42</v>
      </c>
      <c r="M35" s="37"/>
      <c r="N35" s="37"/>
      <c r="O35" s="38">
        <f t="shared" si="27"/>
        <v>0</v>
      </c>
      <c r="P35" s="37">
        <v>12</v>
      </c>
      <c r="Q35" s="38">
        <f t="shared" si="28"/>
        <v>2805.12</v>
      </c>
      <c r="R35" s="37">
        <v>5</v>
      </c>
      <c r="S35" s="38">
        <f t="shared" si="29"/>
        <v>1168.8</v>
      </c>
      <c r="T35" s="37">
        <v>9</v>
      </c>
      <c r="U35" s="72">
        <f t="shared" si="30"/>
        <v>2103.84</v>
      </c>
      <c r="V35" s="39">
        <v>0</v>
      </c>
      <c r="W35" s="72">
        <f t="shared" si="31"/>
        <v>0</v>
      </c>
      <c r="X35" s="74">
        <f>15</f>
        <v>15</v>
      </c>
      <c r="Y35" s="75">
        <f>3298</f>
        <v>3298</v>
      </c>
      <c r="Z35" s="73">
        <v>0</v>
      </c>
      <c r="AA35" s="72">
        <v>0</v>
      </c>
      <c r="AB35" s="42"/>
      <c r="AC35" s="43"/>
      <c r="AD35" s="73">
        <v>1</v>
      </c>
      <c r="AE35" s="72">
        <f>K35</f>
        <v>233.76</v>
      </c>
      <c r="AF35" s="72"/>
      <c r="AG35" s="72"/>
      <c r="AH35" s="42"/>
      <c r="AI35" s="43"/>
      <c r="AJ35" s="45">
        <f t="shared" si="32"/>
        <v>27</v>
      </c>
      <c r="AK35" s="24">
        <f t="shared" si="33"/>
        <v>15</v>
      </c>
      <c r="AL35" s="46">
        <f t="shared" si="34"/>
        <v>0</v>
      </c>
      <c r="AM35" s="47">
        <f t="shared" si="35"/>
        <v>42</v>
      </c>
      <c r="AN35" s="47">
        <f t="shared" si="36"/>
        <v>6311.5199999999995</v>
      </c>
      <c r="AO35" s="47">
        <f t="shared" si="37"/>
        <v>3506.3999999999996</v>
      </c>
      <c r="AP35" s="48">
        <f>(AM35*K35)</f>
        <v>9817.92</v>
      </c>
      <c r="AQ35" s="46"/>
      <c r="AR35" s="82"/>
      <c r="AU35" s="1" t="s">
        <v>97</v>
      </c>
    </row>
    <row r="36" spans="1:48" x14ac:dyDescent="0.35">
      <c r="A36" s="167"/>
      <c r="B36" s="150"/>
      <c r="C36" s="104" t="s">
        <v>98</v>
      </c>
      <c r="D36" s="69" t="s">
        <v>99</v>
      </c>
      <c r="E36" s="105"/>
      <c r="F36" s="106" t="s">
        <v>84</v>
      </c>
      <c r="G36" s="160" t="s">
        <v>96</v>
      </c>
      <c r="H36" s="161"/>
      <c r="I36" s="162"/>
      <c r="J36" s="71" t="s">
        <v>59</v>
      </c>
      <c r="K36" s="31">
        <v>231.3</v>
      </c>
      <c r="L36" s="37">
        <v>50</v>
      </c>
      <c r="M36" s="37"/>
      <c r="N36" s="37"/>
      <c r="O36" s="38">
        <f t="shared" si="27"/>
        <v>0</v>
      </c>
      <c r="P36" s="37">
        <v>19</v>
      </c>
      <c r="Q36" s="38">
        <f t="shared" si="28"/>
        <v>4394.7</v>
      </c>
      <c r="R36" s="37">
        <v>4</v>
      </c>
      <c r="S36" s="38">
        <f t="shared" si="29"/>
        <v>925.2</v>
      </c>
      <c r="T36" s="37">
        <v>9</v>
      </c>
      <c r="U36" s="72">
        <f t="shared" si="30"/>
        <v>2081.7000000000003</v>
      </c>
      <c r="V36" s="39">
        <v>0</v>
      </c>
      <c r="W36" s="72">
        <f t="shared" si="31"/>
        <v>0</v>
      </c>
      <c r="X36" s="74">
        <f>13</f>
        <v>13</v>
      </c>
      <c r="Y36" s="75">
        <v>2963</v>
      </c>
      <c r="Z36" s="73">
        <v>0</v>
      </c>
      <c r="AA36" s="72">
        <v>0</v>
      </c>
      <c r="AB36" s="42"/>
      <c r="AC36" s="43"/>
      <c r="AD36" s="73"/>
      <c r="AE36" s="72"/>
      <c r="AF36" s="72">
        <v>1</v>
      </c>
      <c r="AG36" s="72"/>
      <c r="AH36" s="42"/>
      <c r="AI36" s="43"/>
      <c r="AJ36" s="45">
        <f t="shared" si="32"/>
        <v>33</v>
      </c>
      <c r="AK36" s="24">
        <f t="shared" si="33"/>
        <v>13</v>
      </c>
      <c r="AL36" s="46">
        <f t="shared" si="34"/>
        <v>4</v>
      </c>
      <c r="AM36" s="47">
        <f t="shared" si="35"/>
        <v>46</v>
      </c>
      <c r="AN36" s="47">
        <f t="shared" si="36"/>
        <v>7632.9000000000005</v>
      </c>
      <c r="AO36" s="47">
        <f t="shared" si="37"/>
        <v>3006.9</v>
      </c>
      <c r="AP36" s="48">
        <f>(AM36*K36)</f>
        <v>10639.800000000001</v>
      </c>
      <c r="AQ36" s="46"/>
      <c r="AR36" s="82"/>
      <c r="AU36" s="1" t="s">
        <v>100</v>
      </c>
    </row>
    <row r="37" spans="1:48" x14ac:dyDescent="0.35">
      <c r="A37" s="167"/>
      <c r="B37" s="150"/>
      <c r="C37" s="51" t="s">
        <v>49</v>
      </c>
      <c r="D37" s="52"/>
      <c r="E37" s="51"/>
      <c r="F37" s="163" t="s">
        <v>49</v>
      </c>
      <c r="G37" s="163"/>
      <c r="H37" s="163"/>
      <c r="I37" s="163"/>
      <c r="J37" s="163"/>
      <c r="K37" s="163"/>
      <c r="L37" s="163"/>
      <c r="M37" s="54">
        <f>SUM(M35:M36)</f>
        <v>0</v>
      </c>
      <c r="N37" s="54">
        <f t="shared" ref="N37:AL37" si="39">SUM(N24:N36)</f>
        <v>118</v>
      </c>
      <c r="O37" s="55">
        <f t="shared" si="39"/>
        <v>28545.71</v>
      </c>
      <c r="P37" s="54">
        <f t="shared" si="39"/>
        <v>35</v>
      </c>
      <c r="Q37" s="55">
        <f t="shared" si="39"/>
        <v>8241.3499999999985</v>
      </c>
      <c r="R37" s="54">
        <f t="shared" si="39"/>
        <v>66</v>
      </c>
      <c r="S37" s="55">
        <f t="shared" si="39"/>
        <v>15491.18</v>
      </c>
      <c r="T37" s="54">
        <f t="shared" si="39"/>
        <v>103</v>
      </c>
      <c r="U37" s="55">
        <f t="shared" si="39"/>
        <v>26267.070000000003</v>
      </c>
      <c r="V37" s="54">
        <f t="shared" si="39"/>
        <v>7</v>
      </c>
      <c r="W37" s="55">
        <f t="shared" si="39"/>
        <v>1632.89</v>
      </c>
      <c r="X37" s="56">
        <f>SUM(X24:X36)</f>
        <v>63</v>
      </c>
      <c r="Y37" s="57">
        <f>SUM(Y24:Y36)</f>
        <v>15574</v>
      </c>
      <c r="Z37" s="58"/>
      <c r="AA37" s="55"/>
      <c r="AB37" s="59"/>
      <c r="AC37" s="60"/>
      <c r="AD37" s="54">
        <f t="shared" si="39"/>
        <v>4</v>
      </c>
      <c r="AE37" s="55">
        <f t="shared" si="39"/>
        <v>472.61</v>
      </c>
      <c r="AF37" s="55"/>
      <c r="AG37" s="55"/>
      <c r="AH37" s="59"/>
      <c r="AI37" s="60"/>
      <c r="AJ37" s="79">
        <f>SUM(AJ24:AJ36)</f>
        <v>323</v>
      </c>
      <c r="AK37" s="58">
        <f>SUM(AK24:AK36)</f>
        <v>63</v>
      </c>
      <c r="AL37" s="54">
        <f t="shared" si="39"/>
        <v>15</v>
      </c>
      <c r="AM37" s="54">
        <f>SUM(AM24:AM36)</f>
        <v>386</v>
      </c>
      <c r="AN37" s="54">
        <f t="shared" ref="AN37:AO37" si="40">SUM(AN24:AN36)</f>
        <v>78440.089999999982</v>
      </c>
      <c r="AO37" s="54">
        <f t="shared" si="40"/>
        <v>14996.43</v>
      </c>
      <c r="AP37" s="55">
        <f>SUM(AP24:AP36)</f>
        <v>93436.51999999999</v>
      </c>
      <c r="AQ37" s="54">
        <f>AE37*121</f>
        <v>57185.810000000005</v>
      </c>
      <c r="AR37" s="54">
        <f>AP37*160</f>
        <v>14949843.199999999</v>
      </c>
      <c r="AS37" s="61"/>
      <c r="AT37" s="61"/>
    </row>
    <row r="38" spans="1:48" x14ac:dyDescent="0.35">
      <c r="A38" s="8"/>
      <c r="B38" s="28"/>
      <c r="C38" s="51"/>
      <c r="D38" s="52"/>
      <c r="E38" s="51"/>
      <c r="F38" s="53"/>
      <c r="G38" s="53"/>
      <c r="H38" s="53"/>
      <c r="I38" s="53"/>
      <c r="J38" s="53"/>
      <c r="K38" s="53"/>
      <c r="L38" s="53"/>
      <c r="M38" s="54"/>
      <c r="N38" s="54"/>
      <c r="O38" s="55"/>
      <c r="P38" s="54"/>
      <c r="Q38" s="55"/>
      <c r="R38" s="54"/>
      <c r="S38" s="55"/>
      <c r="T38" s="54"/>
      <c r="U38" s="55"/>
      <c r="V38" s="54"/>
      <c r="W38" s="55"/>
      <c r="X38" s="56"/>
      <c r="Y38" s="57"/>
      <c r="Z38" s="58"/>
      <c r="AA38" s="55"/>
      <c r="AB38" s="59"/>
      <c r="AC38" s="60"/>
      <c r="AD38" s="54"/>
      <c r="AE38" s="55"/>
      <c r="AF38" s="55"/>
      <c r="AG38" s="55"/>
      <c r="AH38" s="59"/>
      <c r="AI38" s="60"/>
      <c r="AJ38" s="79"/>
      <c r="AK38" s="58"/>
      <c r="AL38" s="54"/>
      <c r="AM38" s="54"/>
      <c r="AN38" s="54">
        <f>AN37+AN22</f>
        <v>190944.93</v>
      </c>
      <c r="AO38" s="54">
        <f>AO37+AO22</f>
        <v>14996.43</v>
      </c>
      <c r="AP38" s="55">
        <f>AN38+AO38</f>
        <v>205941.36</v>
      </c>
      <c r="AQ38" s="54"/>
      <c r="AR38" s="54"/>
      <c r="AS38" s="80">
        <v>198795.63</v>
      </c>
      <c r="AT38" s="80"/>
      <c r="AU38" s="81">
        <f>AS38-AP38</f>
        <v>-7145.7299999999814</v>
      </c>
    </row>
    <row r="39" spans="1:48" x14ac:dyDescent="0.35">
      <c r="A39" s="82"/>
      <c r="B39" s="83"/>
      <c r="C39" s="84"/>
      <c r="D39" s="85"/>
      <c r="E39" s="84"/>
      <c r="F39" s="84"/>
      <c r="G39" s="84"/>
      <c r="H39" s="84"/>
      <c r="I39" s="84"/>
      <c r="J39" s="84"/>
      <c r="K39" s="84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7"/>
      <c r="AK39" s="86"/>
      <c r="AL39" s="86"/>
      <c r="AM39" s="86"/>
      <c r="AN39" s="86"/>
      <c r="AO39" s="86"/>
      <c r="AP39" s="86"/>
      <c r="AQ39" s="86"/>
      <c r="AR39" s="88"/>
      <c r="AS39" s="89"/>
      <c r="AT39" s="89"/>
    </row>
    <row r="40" spans="1:48" ht="14.25" customHeight="1" x14ac:dyDescent="0.35">
      <c r="A40" s="167" t="s">
        <v>101</v>
      </c>
      <c r="B40" s="150" t="s">
        <v>37</v>
      </c>
      <c r="C40" s="29" t="s">
        <v>102</v>
      </c>
      <c r="D40" s="30"/>
      <c r="E40" s="29" t="s">
        <v>103</v>
      </c>
      <c r="F40" s="31" t="s">
        <v>104</v>
      </c>
      <c r="G40" s="49">
        <v>45449</v>
      </c>
      <c r="H40" s="49">
        <v>45688</v>
      </c>
      <c r="I40" s="49" t="s">
        <v>105</v>
      </c>
      <c r="J40" s="35">
        <v>0.9</v>
      </c>
      <c r="K40" s="82">
        <v>692.23</v>
      </c>
      <c r="L40" s="98">
        <v>159</v>
      </c>
      <c r="M40" s="37"/>
      <c r="N40" s="37">
        <v>37</v>
      </c>
      <c r="O40" s="38">
        <f>N40*K40</f>
        <v>25612.510000000002</v>
      </c>
      <c r="P40" s="37">
        <v>0</v>
      </c>
      <c r="Q40" s="38">
        <f>P40*K40</f>
        <v>0</v>
      </c>
      <c r="R40" s="37">
        <v>41</v>
      </c>
      <c r="S40" s="38">
        <f>R40*K40</f>
        <v>28381.43</v>
      </c>
      <c r="T40" s="37">
        <f>157-R40-N40</f>
        <v>79</v>
      </c>
      <c r="U40" s="72">
        <f>T40*K40</f>
        <v>54686.17</v>
      </c>
      <c r="V40" s="39">
        <v>0</v>
      </c>
      <c r="W40" s="72">
        <f>V40*K40</f>
        <v>0</v>
      </c>
      <c r="X40" s="74"/>
      <c r="Y40" s="75"/>
      <c r="Z40" s="73">
        <v>-2</v>
      </c>
      <c r="AA40" s="72">
        <f>Z40*514.5</f>
        <v>-1029</v>
      </c>
      <c r="AB40" s="42"/>
      <c r="AC40" s="43"/>
      <c r="AD40" s="73"/>
      <c r="AE40" s="72">
        <f>AD40*K40</f>
        <v>0</v>
      </c>
      <c r="AF40" s="72">
        <v>8</v>
      </c>
      <c r="AG40" s="72"/>
      <c r="AH40" s="42"/>
      <c r="AI40" s="43"/>
      <c r="AJ40" s="45">
        <f t="shared" ref="AJ40:AJ43" si="41">N40+P40+R40+T40+V40+Z40+AD40+AF40</f>
        <v>163</v>
      </c>
      <c r="AK40" s="24">
        <f t="shared" ref="AK40:AK43" si="42">X40+AB40+AH40</f>
        <v>0</v>
      </c>
      <c r="AL40" s="46">
        <f t="shared" ref="AL40:AL43" si="43">L40-(M40+N40+P40+R40+T40+V40+X40+Z40+AB40+AD40+AF40+AH40)</f>
        <v>-4</v>
      </c>
      <c r="AM40" s="47">
        <f t="shared" ref="AM40:AM43" si="44">N40+P40+R40+T40+V40+X40+Z40+AB40+AD40+AF40+AH40</f>
        <v>163</v>
      </c>
      <c r="AN40" s="47">
        <f t="shared" ref="AN40:AN43" si="45">AJ40*K40</f>
        <v>112833.49</v>
      </c>
      <c r="AO40" s="47">
        <f t="shared" ref="AO40:AO43" si="46">AK40*K40</f>
        <v>0</v>
      </c>
      <c r="AP40" s="48">
        <f>AM40*K40</f>
        <v>112833.49</v>
      </c>
      <c r="AQ40" s="46"/>
      <c r="AR40" s="82"/>
      <c r="AU40" s="1" t="s">
        <v>106</v>
      </c>
    </row>
    <row r="41" spans="1:48" x14ac:dyDescent="0.35">
      <c r="A41" s="167"/>
      <c r="B41" s="150"/>
      <c r="C41" s="29" t="s">
        <v>107</v>
      </c>
      <c r="D41" s="30"/>
      <c r="E41" s="29" t="s">
        <v>103</v>
      </c>
      <c r="F41" s="31" t="s">
        <v>108</v>
      </c>
      <c r="G41" s="49">
        <v>45484</v>
      </c>
      <c r="H41" s="49">
        <v>45688</v>
      </c>
      <c r="I41" s="49">
        <v>45717</v>
      </c>
      <c r="J41" s="35">
        <v>0.56000000000000005</v>
      </c>
      <c r="K41" s="82">
        <v>679.66</v>
      </c>
      <c r="L41" s="98">
        <v>48</v>
      </c>
      <c r="M41" s="37">
        <v>20</v>
      </c>
      <c r="N41" s="37">
        <v>42</v>
      </c>
      <c r="O41" s="38">
        <f>N41*K41</f>
        <v>28545.719999999998</v>
      </c>
      <c r="P41" s="37">
        <v>3</v>
      </c>
      <c r="Q41" s="38">
        <f>P41*K41</f>
        <v>2038.98</v>
      </c>
      <c r="R41" s="37">
        <v>0</v>
      </c>
      <c r="S41" s="38">
        <f>R41*K41</f>
        <v>0</v>
      </c>
      <c r="T41" s="37">
        <v>-9</v>
      </c>
      <c r="U41" s="72">
        <f>T41*K41</f>
        <v>-6116.94</v>
      </c>
      <c r="V41" s="39">
        <v>0</v>
      </c>
      <c r="W41" s="72">
        <f>V41*K41</f>
        <v>0</v>
      </c>
      <c r="X41" s="74"/>
      <c r="Y41" s="75"/>
      <c r="Z41" s="73">
        <v>-8</v>
      </c>
      <c r="AA41" s="72">
        <f>Z41*691.375</f>
        <v>-5531</v>
      </c>
      <c r="AB41" s="42"/>
      <c r="AC41" s="43"/>
      <c r="AD41" s="73">
        <v>0</v>
      </c>
      <c r="AE41" s="72">
        <f t="shared" ref="AE41:AE43" si="47">AD41*K41</f>
        <v>0</v>
      </c>
      <c r="AF41" s="72">
        <v>1</v>
      </c>
      <c r="AG41" s="72"/>
      <c r="AH41" s="42"/>
      <c r="AI41" s="43"/>
      <c r="AJ41" s="45">
        <f t="shared" si="41"/>
        <v>29</v>
      </c>
      <c r="AK41" s="24">
        <f t="shared" si="42"/>
        <v>0</v>
      </c>
      <c r="AL41" s="46">
        <f t="shared" si="43"/>
        <v>-1</v>
      </c>
      <c r="AM41" s="47">
        <f t="shared" si="44"/>
        <v>29</v>
      </c>
      <c r="AN41" s="47">
        <f t="shared" si="45"/>
        <v>19710.14</v>
      </c>
      <c r="AO41" s="47">
        <f t="shared" si="46"/>
        <v>0</v>
      </c>
      <c r="AP41" s="48">
        <f>AM41*K41</f>
        <v>19710.14</v>
      </c>
      <c r="AQ41" s="46"/>
      <c r="AR41" s="82"/>
      <c r="AU41" s="1" t="s">
        <v>63</v>
      </c>
    </row>
    <row r="42" spans="1:48" x14ac:dyDescent="0.35">
      <c r="A42" s="167"/>
      <c r="B42" s="150"/>
      <c r="C42" s="29" t="s">
        <v>109</v>
      </c>
      <c r="D42" s="30"/>
      <c r="E42" s="29" t="s">
        <v>103</v>
      </c>
      <c r="F42" s="31" t="s">
        <v>110</v>
      </c>
      <c r="G42" s="49">
        <v>45536</v>
      </c>
      <c r="H42" s="49">
        <v>45688</v>
      </c>
      <c r="I42" s="49" t="s">
        <v>111</v>
      </c>
      <c r="J42" s="35">
        <v>0.68479999999999996</v>
      </c>
      <c r="K42" s="82">
        <v>716.33</v>
      </c>
      <c r="L42" s="98">
        <v>110</v>
      </c>
      <c r="M42" s="37"/>
      <c r="N42" s="37"/>
      <c r="O42" s="38">
        <f>N42*K42</f>
        <v>0</v>
      </c>
      <c r="P42" s="37"/>
      <c r="Q42" s="38">
        <f>P42*K42</f>
        <v>0</v>
      </c>
      <c r="R42" s="37"/>
      <c r="S42" s="38">
        <f>R42*K42</f>
        <v>0</v>
      </c>
      <c r="T42" s="37"/>
      <c r="U42" s="72">
        <f>T42*K42</f>
        <v>0</v>
      </c>
      <c r="V42" s="39">
        <v>13</v>
      </c>
      <c r="W42" s="72">
        <f>V42*K42</f>
        <v>9312.2900000000009</v>
      </c>
      <c r="X42" s="74"/>
      <c r="Y42" s="75"/>
      <c r="Z42" s="73">
        <v>54</v>
      </c>
      <c r="AA42" s="72">
        <f>691.6111*Z42</f>
        <v>37346.999400000001</v>
      </c>
      <c r="AB42" s="42"/>
      <c r="AC42" s="43"/>
      <c r="AD42" s="73">
        <v>11</v>
      </c>
      <c r="AE42" s="72">
        <f t="shared" si="47"/>
        <v>7879.63</v>
      </c>
      <c r="AF42" s="72">
        <v>23</v>
      </c>
      <c r="AG42" s="72"/>
      <c r="AH42" s="42"/>
      <c r="AI42" s="43"/>
      <c r="AJ42" s="45">
        <f t="shared" si="41"/>
        <v>101</v>
      </c>
      <c r="AK42" s="24">
        <f t="shared" si="42"/>
        <v>0</v>
      </c>
      <c r="AL42" s="46">
        <f t="shared" si="43"/>
        <v>9</v>
      </c>
      <c r="AM42" s="47">
        <f t="shared" si="44"/>
        <v>101</v>
      </c>
      <c r="AN42" s="47">
        <f t="shared" si="45"/>
        <v>72349.33</v>
      </c>
      <c r="AO42" s="47">
        <f t="shared" si="46"/>
        <v>0</v>
      </c>
      <c r="AP42" s="48">
        <f>AM42*K42</f>
        <v>72349.33</v>
      </c>
      <c r="AQ42" s="46"/>
      <c r="AR42" s="82"/>
      <c r="AU42" s="1" t="s">
        <v>112</v>
      </c>
    </row>
    <row r="43" spans="1:48" x14ac:dyDescent="0.35">
      <c r="A43" s="167"/>
      <c r="B43" s="150"/>
      <c r="C43" s="110" t="s">
        <v>113</v>
      </c>
      <c r="D43" s="91"/>
      <c r="E43" s="90"/>
      <c r="F43" s="71" t="s">
        <v>110</v>
      </c>
      <c r="G43" s="160" t="s">
        <v>114</v>
      </c>
      <c r="H43" s="161"/>
      <c r="I43" s="162"/>
      <c r="J43" s="71" t="s">
        <v>115</v>
      </c>
      <c r="K43" s="37">
        <v>706.32</v>
      </c>
      <c r="L43" s="98">
        <v>24</v>
      </c>
      <c r="M43" s="37">
        <v>2</v>
      </c>
      <c r="N43" s="37"/>
      <c r="O43" s="38">
        <f>N43*K43</f>
        <v>0</v>
      </c>
      <c r="P43" s="37"/>
      <c r="Q43" s="38">
        <f>P43*K43</f>
        <v>0</v>
      </c>
      <c r="R43" s="37">
        <v>20</v>
      </c>
      <c r="S43" s="38">
        <f>R43*K43</f>
        <v>14126.400000000001</v>
      </c>
      <c r="T43" s="37">
        <v>2</v>
      </c>
      <c r="U43" s="72">
        <f>T43*K43</f>
        <v>1412.64</v>
      </c>
      <c r="V43" s="39">
        <v>0</v>
      </c>
      <c r="W43" s="72">
        <f>V43*K43</f>
        <v>0</v>
      </c>
      <c r="X43" s="74"/>
      <c r="Y43" s="75"/>
      <c r="Z43" s="73">
        <v>0</v>
      </c>
      <c r="AA43" s="72">
        <v>0</v>
      </c>
      <c r="AB43" s="42"/>
      <c r="AC43" s="43"/>
      <c r="AD43" s="73">
        <v>0</v>
      </c>
      <c r="AE43" s="72">
        <f t="shared" si="47"/>
        <v>0</v>
      </c>
      <c r="AF43" s="72"/>
      <c r="AG43" s="72"/>
      <c r="AH43" s="42"/>
      <c r="AI43" s="43"/>
      <c r="AJ43" s="45">
        <f t="shared" si="41"/>
        <v>22</v>
      </c>
      <c r="AK43" s="24">
        <f t="shared" si="42"/>
        <v>0</v>
      </c>
      <c r="AL43" s="46">
        <f t="shared" si="43"/>
        <v>0</v>
      </c>
      <c r="AM43" s="47">
        <f t="shared" si="44"/>
        <v>22</v>
      </c>
      <c r="AN43" s="47">
        <f t="shared" si="45"/>
        <v>15539.04</v>
      </c>
      <c r="AO43" s="47">
        <f t="shared" si="46"/>
        <v>0</v>
      </c>
      <c r="AP43" s="38">
        <f>AM43*K43</f>
        <v>15539.04</v>
      </c>
      <c r="AQ43" s="102"/>
      <c r="AR43" s="37"/>
      <c r="AS43" s="103"/>
      <c r="AT43" s="103"/>
    </row>
    <row r="44" spans="1:48" x14ac:dyDescent="0.35">
      <c r="A44" s="167"/>
      <c r="B44" s="150"/>
      <c r="C44" s="19"/>
      <c r="D44" s="111"/>
      <c r="E44" s="19"/>
      <c r="F44" s="163" t="s">
        <v>49</v>
      </c>
      <c r="G44" s="163"/>
      <c r="H44" s="163"/>
      <c r="I44" s="163"/>
      <c r="J44" s="163"/>
      <c r="K44" s="163"/>
      <c r="L44" s="163"/>
      <c r="M44" s="54">
        <f t="shared" ref="M44:AL44" si="48">SUM(M40:M43)</f>
        <v>22</v>
      </c>
      <c r="N44" s="54">
        <f t="shared" si="48"/>
        <v>79</v>
      </c>
      <c r="O44" s="55">
        <f t="shared" si="48"/>
        <v>54158.229999999996</v>
      </c>
      <c r="P44" s="58">
        <f t="shared" si="48"/>
        <v>3</v>
      </c>
      <c r="Q44" s="55">
        <f t="shared" si="48"/>
        <v>2038.98</v>
      </c>
      <c r="R44" s="58">
        <f t="shared" si="48"/>
        <v>61</v>
      </c>
      <c r="S44" s="55">
        <f t="shared" si="48"/>
        <v>42507.83</v>
      </c>
      <c r="T44" s="58">
        <f t="shared" si="48"/>
        <v>72</v>
      </c>
      <c r="U44" s="55">
        <f t="shared" si="48"/>
        <v>49981.869999999995</v>
      </c>
      <c r="V44" s="58">
        <f t="shared" si="48"/>
        <v>13</v>
      </c>
      <c r="W44" s="55">
        <f t="shared" si="48"/>
        <v>9312.2900000000009</v>
      </c>
      <c r="X44" s="56">
        <f>SUM(X40:X43)</f>
        <v>0</v>
      </c>
      <c r="Y44" s="57">
        <f>SUM(Y40:Y43)</f>
        <v>0</v>
      </c>
      <c r="Z44" s="58">
        <f t="shared" si="48"/>
        <v>44</v>
      </c>
      <c r="AA44" s="55">
        <f>SUM(AA40:AA43)</f>
        <v>30786.999400000001</v>
      </c>
      <c r="AB44" s="59"/>
      <c r="AC44" s="60"/>
      <c r="AD44" s="58">
        <f t="shared" si="48"/>
        <v>11</v>
      </c>
      <c r="AE44" s="55">
        <f>SUM(AE40:AE43)</f>
        <v>7879.63</v>
      </c>
      <c r="AF44" s="55"/>
      <c r="AG44" s="55"/>
      <c r="AH44" s="59"/>
      <c r="AI44" s="60"/>
      <c r="AJ44" s="79">
        <f>SUM(AJ40:AJ43)</f>
        <v>315</v>
      </c>
      <c r="AK44" s="58">
        <f>SUM(AK40:AK43)</f>
        <v>0</v>
      </c>
      <c r="AL44" s="58">
        <f t="shared" si="48"/>
        <v>4</v>
      </c>
      <c r="AM44" s="58">
        <f>SUM(AM40:AM43)</f>
        <v>315</v>
      </c>
      <c r="AN44" s="58">
        <f>SUM(AN40:AN43)</f>
        <v>220432.00000000003</v>
      </c>
      <c r="AO44" s="58">
        <f>SUM(AO40:AO43)</f>
        <v>0</v>
      </c>
      <c r="AP44" s="55">
        <f>SUM(AP40:AP43)</f>
        <v>220432.00000000003</v>
      </c>
      <c r="AQ44" s="54">
        <f>(AE44*160)+800000+150000</f>
        <v>2210740.7999999998</v>
      </c>
      <c r="AR44" s="54">
        <f>AP44*160</f>
        <v>35269120.000000007</v>
      </c>
      <c r="AS44" s="61"/>
      <c r="AT44" s="61"/>
    </row>
    <row r="45" spans="1:48" ht="5.7" customHeight="1" x14ac:dyDescent="0.35">
      <c r="A45" s="167"/>
      <c r="B45" s="62"/>
      <c r="C45" s="63"/>
      <c r="D45" s="64"/>
      <c r="E45" s="63"/>
      <c r="F45" s="63"/>
      <c r="G45" s="63"/>
      <c r="H45" s="63"/>
      <c r="I45" s="63"/>
      <c r="J45" s="63"/>
      <c r="K45" s="63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6"/>
      <c r="AK45" s="65"/>
      <c r="AL45" s="65"/>
      <c r="AM45" s="65"/>
      <c r="AN45" s="65"/>
      <c r="AO45" s="65"/>
      <c r="AP45" s="65"/>
      <c r="AQ45" s="65"/>
      <c r="AR45" s="65"/>
      <c r="AS45" s="67"/>
      <c r="AT45" s="67"/>
    </row>
    <row r="46" spans="1:48" ht="14.25" customHeight="1" x14ac:dyDescent="0.35">
      <c r="A46" s="167"/>
      <c r="B46" s="150" t="s">
        <v>50</v>
      </c>
      <c r="C46" s="104" t="s">
        <v>116</v>
      </c>
      <c r="D46" s="69" t="s">
        <v>117</v>
      </c>
      <c r="E46" s="105"/>
      <c r="F46" s="106" t="s">
        <v>118</v>
      </c>
      <c r="G46" s="160" t="s">
        <v>53</v>
      </c>
      <c r="H46" s="161"/>
      <c r="I46" s="162"/>
      <c r="J46" s="71" t="s">
        <v>115</v>
      </c>
      <c r="K46" s="31">
        <v>291.04000000000002</v>
      </c>
      <c r="L46" s="37">
        <v>29</v>
      </c>
      <c r="M46" s="37"/>
      <c r="N46" s="37">
        <v>19</v>
      </c>
      <c r="O46" s="38">
        <f t="shared" ref="O46:O56" si="49">N46*K46</f>
        <v>5529.76</v>
      </c>
      <c r="P46" s="37">
        <v>0</v>
      </c>
      <c r="Q46" s="38">
        <f t="shared" ref="Q46:Q56" si="50">P46*K46</f>
        <v>0</v>
      </c>
      <c r="R46" s="37">
        <v>0</v>
      </c>
      <c r="S46" s="38">
        <f t="shared" ref="S46:S56" si="51">R46*K46</f>
        <v>0</v>
      </c>
      <c r="T46" s="37">
        <v>-12</v>
      </c>
      <c r="U46" s="72">
        <f t="shared" ref="U46:U56" si="52">T46*K46</f>
        <v>-3492.4800000000005</v>
      </c>
      <c r="V46" s="39">
        <v>0</v>
      </c>
      <c r="W46" s="72">
        <f t="shared" ref="W46:W53" si="53">V46*K46</f>
        <v>0</v>
      </c>
      <c r="X46" s="74">
        <f>12+7</f>
        <v>19</v>
      </c>
      <c r="Y46" s="75">
        <f>2585+2993</f>
        <v>5578</v>
      </c>
      <c r="Z46" s="73">
        <v>0</v>
      </c>
      <c r="AA46" s="72">
        <v>0</v>
      </c>
      <c r="AB46" s="42"/>
      <c r="AC46" s="43"/>
      <c r="AD46" s="73"/>
      <c r="AE46" s="72">
        <f>AD46*K46</f>
        <v>0</v>
      </c>
      <c r="AF46" s="72"/>
      <c r="AG46" s="72"/>
      <c r="AH46" s="42"/>
      <c r="AI46" s="43"/>
      <c r="AJ46" s="45">
        <f t="shared" ref="AJ46:AJ56" si="54">N46+P46+R46+T46+V46+Z46+AD46+AF46</f>
        <v>7</v>
      </c>
      <c r="AK46" s="24">
        <f t="shared" ref="AK46:AK56" si="55">X46+AB46+AH46</f>
        <v>19</v>
      </c>
      <c r="AL46" s="46">
        <f t="shared" ref="AL46:AL56" si="56">L46-(M46+N46+P46+R46+T46+V46+X46+Z46+AB46+AD46+AF46+AH46)</f>
        <v>3</v>
      </c>
      <c r="AM46" s="47">
        <f t="shared" ref="AM46:AM56" si="57">N46+P46+R46+T46+V46+X46+Z46+AB46+AD46+AF46+AH46</f>
        <v>26</v>
      </c>
      <c r="AN46" s="47">
        <f>AJ46*K46</f>
        <v>2037.2800000000002</v>
      </c>
      <c r="AO46" s="47">
        <f>AK46*K46</f>
        <v>5529.76</v>
      </c>
      <c r="AP46" s="48">
        <f>(AM46*K46)</f>
        <v>7567.0400000000009</v>
      </c>
      <c r="AQ46" s="82"/>
      <c r="AR46" s="82"/>
      <c r="AU46" s="1" t="s">
        <v>119</v>
      </c>
    </row>
    <row r="47" spans="1:48" x14ac:dyDescent="0.35">
      <c r="A47" s="167"/>
      <c r="B47" s="150"/>
      <c r="C47" s="104" t="s">
        <v>120</v>
      </c>
      <c r="D47" s="69" t="s">
        <v>121</v>
      </c>
      <c r="E47" s="105"/>
      <c r="F47" s="106" t="s">
        <v>118</v>
      </c>
      <c r="G47" s="160" t="s">
        <v>53</v>
      </c>
      <c r="H47" s="161"/>
      <c r="I47" s="162"/>
      <c r="J47" s="71" t="s">
        <v>115</v>
      </c>
      <c r="K47" s="31">
        <v>239.68</v>
      </c>
      <c r="L47" s="37">
        <v>37</v>
      </c>
      <c r="M47" s="37"/>
      <c r="N47" s="37">
        <v>36</v>
      </c>
      <c r="O47" s="38">
        <f t="shared" si="49"/>
        <v>8628.48</v>
      </c>
      <c r="P47" s="37">
        <v>0</v>
      </c>
      <c r="Q47" s="38">
        <f t="shared" si="50"/>
        <v>0</v>
      </c>
      <c r="R47" s="37">
        <v>0</v>
      </c>
      <c r="S47" s="38">
        <f t="shared" si="51"/>
        <v>0</v>
      </c>
      <c r="T47" s="37">
        <v>-10</v>
      </c>
      <c r="U47" s="72">
        <f t="shared" si="52"/>
        <v>-2396.8000000000002</v>
      </c>
      <c r="V47" s="39">
        <v>0</v>
      </c>
      <c r="W47" s="72">
        <f t="shared" si="53"/>
        <v>0</v>
      </c>
      <c r="X47" s="74">
        <f>10+1</f>
        <v>11</v>
      </c>
      <c r="Y47" s="75">
        <f>897+2072</f>
        <v>2969</v>
      </c>
      <c r="Z47" s="73">
        <v>0</v>
      </c>
      <c r="AA47" s="72">
        <v>0</v>
      </c>
      <c r="AB47" s="42"/>
      <c r="AC47" s="43"/>
      <c r="AD47" s="73"/>
      <c r="AE47" s="72"/>
      <c r="AF47" s="72"/>
      <c r="AG47" s="72"/>
      <c r="AH47" s="42"/>
      <c r="AI47" s="43"/>
      <c r="AJ47" s="45">
        <f t="shared" si="54"/>
        <v>26</v>
      </c>
      <c r="AK47" s="24">
        <f t="shared" si="55"/>
        <v>11</v>
      </c>
      <c r="AL47" s="46">
        <f t="shared" si="56"/>
        <v>0</v>
      </c>
      <c r="AM47" s="47">
        <f t="shared" si="57"/>
        <v>37</v>
      </c>
      <c r="AN47" s="47">
        <f t="shared" ref="AN47:AN56" si="58">AJ47*K47</f>
        <v>6231.68</v>
      </c>
      <c r="AO47" s="47">
        <f t="shared" ref="AO47:AO56" si="59">AK47*K47</f>
        <v>2636.48</v>
      </c>
      <c r="AP47" s="48">
        <f>(AM47*K47)</f>
        <v>8868.16</v>
      </c>
      <c r="AQ47" s="82"/>
      <c r="AR47" s="82"/>
      <c r="AU47" s="1" t="s">
        <v>122</v>
      </c>
    </row>
    <row r="48" spans="1:48" x14ac:dyDescent="0.35">
      <c r="A48" s="167"/>
      <c r="B48" s="150"/>
      <c r="C48" s="104" t="s">
        <v>123</v>
      </c>
      <c r="D48" s="69" t="s">
        <v>124</v>
      </c>
      <c r="E48" s="105"/>
      <c r="F48" s="106" t="s">
        <v>118</v>
      </c>
      <c r="G48" s="160" t="s">
        <v>53</v>
      </c>
      <c r="H48" s="161"/>
      <c r="I48" s="162"/>
      <c r="J48" s="71" t="s">
        <v>115</v>
      </c>
      <c r="K48" s="31">
        <v>263.81</v>
      </c>
      <c r="L48" s="37">
        <v>32</v>
      </c>
      <c r="M48" s="37"/>
      <c r="N48" s="37">
        <v>28</v>
      </c>
      <c r="O48" s="38">
        <f t="shared" si="49"/>
        <v>7386.68</v>
      </c>
      <c r="P48" s="37">
        <v>0</v>
      </c>
      <c r="Q48" s="38">
        <f t="shared" si="50"/>
        <v>0</v>
      </c>
      <c r="R48" s="37">
        <v>0</v>
      </c>
      <c r="S48" s="38">
        <f t="shared" si="51"/>
        <v>0</v>
      </c>
      <c r="T48" s="37">
        <v>-9</v>
      </c>
      <c r="U48" s="72">
        <f t="shared" si="52"/>
        <v>-2374.29</v>
      </c>
      <c r="V48" s="39">
        <v>0</v>
      </c>
      <c r="W48" s="72">
        <f t="shared" si="53"/>
        <v>0</v>
      </c>
      <c r="X48" s="74">
        <f>11+1</f>
        <v>12</v>
      </c>
      <c r="Y48" s="75">
        <f>2534+897</f>
        <v>3431</v>
      </c>
      <c r="Z48" s="73">
        <v>0</v>
      </c>
      <c r="AA48" s="72">
        <v>0</v>
      </c>
      <c r="AB48" s="42"/>
      <c r="AC48" s="43"/>
      <c r="AD48" s="73"/>
      <c r="AE48" s="72">
        <f>AD48*K48</f>
        <v>0</v>
      </c>
      <c r="AF48" s="72"/>
      <c r="AG48" s="72"/>
      <c r="AH48" s="42"/>
      <c r="AI48" s="43"/>
      <c r="AJ48" s="45">
        <f t="shared" si="54"/>
        <v>19</v>
      </c>
      <c r="AK48" s="24">
        <f t="shared" si="55"/>
        <v>12</v>
      </c>
      <c r="AL48" s="46">
        <f t="shared" si="56"/>
        <v>1</v>
      </c>
      <c r="AM48" s="47">
        <f t="shared" si="57"/>
        <v>31</v>
      </c>
      <c r="AN48" s="47">
        <f t="shared" si="58"/>
        <v>5012.3900000000003</v>
      </c>
      <c r="AO48" s="47">
        <f t="shared" si="59"/>
        <v>3165.7200000000003</v>
      </c>
      <c r="AP48" s="48">
        <f>(AM48*K48)</f>
        <v>8178.11</v>
      </c>
      <c r="AQ48" s="82"/>
      <c r="AR48" s="82"/>
      <c r="AU48" s="1" t="s">
        <v>125</v>
      </c>
      <c r="AV48" s="112"/>
    </row>
    <row r="49" spans="1:47" x14ac:dyDescent="0.35">
      <c r="A49" s="167"/>
      <c r="B49" s="150"/>
      <c r="C49" s="104" t="s">
        <v>126</v>
      </c>
      <c r="D49" s="69" t="s">
        <v>127</v>
      </c>
      <c r="E49" s="105"/>
      <c r="F49" s="106" t="s">
        <v>118</v>
      </c>
      <c r="G49" s="160" t="s">
        <v>53</v>
      </c>
      <c r="H49" s="161"/>
      <c r="I49" s="162"/>
      <c r="J49" s="71" t="s">
        <v>115</v>
      </c>
      <c r="K49" s="31">
        <v>244.37</v>
      </c>
      <c r="L49" s="37">
        <v>63</v>
      </c>
      <c r="M49" s="37"/>
      <c r="N49" s="37">
        <v>60</v>
      </c>
      <c r="O49" s="38">
        <f t="shared" si="49"/>
        <v>14662.2</v>
      </c>
      <c r="P49" s="37">
        <v>0</v>
      </c>
      <c r="Q49" s="38">
        <f t="shared" si="50"/>
        <v>0</v>
      </c>
      <c r="R49" s="37">
        <v>1</v>
      </c>
      <c r="S49" s="38">
        <f t="shared" si="51"/>
        <v>244.37</v>
      </c>
      <c r="T49" s="37">
        <v>-19</v>
      </c>
      <c r="U49" s="72">
        <f t="shared" si="52"/>
        <v>-4643.03</v>
      </c>
      <c r="V49" s="39">
        <v>-1</v>
      </c>
      <c r="W49" s="72">
        <f t="shared" si="53"/>
        <v>-244.37</v>
      </c>
      <c r="X49" s="74">
        <f>19+1</f>
        <v>20</v>
      </c>
      <c r="Y49" s="75">
        <f>4242+897</f>
        <v>5139</v>
      </c>
      <c r="Z49" s="73">
        <v>0</v>
      </c>
      <c r="AA49" s="72">
        <v>0</v>
      </c>
      <c r="AB49" s="42"/>
      <c r="AC49" s="43"/>
      <c r="AD49" s="73"/>
      <c r="AE49" s="72">
        <f>AD49*K49</f>
        <v>0</v>
      </c>
      <c r="AF49" s="72">
        <v>1</v>
      </c>
      <c r="AG49" s="72"/>
      <c r="AH49" s="42"/>
      <c r="AI49" s="43"/>
      <c r="AJ49" s="45">
        <f t="shared" si="54"/>
        <v>42</v>
      </c>
      <c r="AK49" s="24">
        <f t="shared" si="55"/>
        <v>20</v>
      </c>
      <c r="AL49" s="46">
        <f t="shared" si="56"/>
        <v>1</v>
      </c>
      <c r="AM49" s="47">
        <f t="shared" si="57"/>
        <v>62</v>
      </c>
      <c r="AN49" s="47">
        <f t="shared" si="58"/>
        <v>10263.540000000001</v>
      </c>
      <c r="AO49" s="47">
        <f t="shared" si="59"/>
        <v>4887.3999999999996</v>
      </c>
      <c r="AP49" s="48">
        <f>(AM49*K49)</f>
        <v>15150.94</v>
      </c>
      <c r="AQ49" s="46"/>
      <c r="AR49" s="82"/>
      <c r="AU49" s="1" t="s">
        <v>128</v>
      </c>
    </row>
    <row r="50" spans="1:47" x14ac:dyDescent="0.35">
      <c r="A50" s="167"/>
      <c r="B50" s="150"/>
      <c r="C50" s="104" t="s">
        <v>129</v>
      </c>
      <c r="D50" s="69" t="s">
        <v>130</v>
      </c>
      <c r="E50" s="105"/>
      <c r="F50" s="106" t="s">
        <v>118</v>
      </c>
      <c r="G50" s="160" t="s">
        <v>53</v>
      </c>
      <c r="H50" s="161"/>
      <c r="I50" s="162"/>
      <c r="J50" s="71" t="s">
        <v>115</v>
      </c>
      <c r="K50" s="31">
        <v>253.44</v>
      </c>
      <c r="L50" s="37">
        <f>36+14</f>
        <v>50</v>
      </c>
      <c r="M50" s="37"/>
      <c r="N50" s="37"/>
      <c r="O50" s="38">
        <f t="shared" si="49"/>
        <v>0</v>
      </c>
      <c r="P50" s="37"/>
      <c r="Q50" s="38">
        <f t="shared" si="50"/>
        <v>0</v>
      </c>
      <c r="R50" s="37">
        <v>26</v>
      </c>
      <c r="S50" s="38">
        <f t="shared" si="51"/>
        <v>6589.44</v>
      </c>
      <c r="T50" s="37">
        <v>9</v>
      </c>
      <c r="U50" s="72">
        <f t="shared" si="52"/>
        <v>2280.96</v>
      </c>
      <c r="V50" s="39">
        <v>0</v>
      </c>
      <c r="W50" s="72">
        <f t="shared" si="53"/>
        <v>0</v>
      </c>
      <c r="X50" s="74">
        <f>14+1</f>
        <v>15</v>
      </c>
      <c r="Y50" s="75">
        <f>3093+897</f>
        <v>3990</v>
      </c>
      <c r="Z50" s="73">
        <v>0</v>
      </c>
      <c r="AA50" s="72">
        <v>0</v>
      </c>
      <c r="AB50" s="42"/>
      <c r="AC50" s="43"/>
      <c r="AD50" s="73"/>
      <c r="AE50" s="72"/>
      <c r="AF50" s="72"/>
      <c r="AG50" s="72"/>
      <c r="AH50" s="42"/>
      <c r="AI50" s="43"/>
      <c r="AJ50" s="45">
        <f t="shared" si="54"/>
        <v>35</v>
      </c>
      <c r="AK50" s="24">
        <f t="shared" si="55"/>
        <v>15</v>
      </c>
      <c r="AL50" s="46">
        <f t="shared" si="56"/>
        <v>0</v>
      </c>
      <c r="AM50" s="47">
        <f t="shared" si="57"/>
        <v>50</v>
      </c>
      <c r="AN50" s="47">
        <f t="shared" si="58"/>
        <v>8870.4</v>
      </c>
      <c r="AO50" s="47">
        <f t="shared" si="59"/>
        <v>3801.6</v>
      </c>
      <c r="AP50" s="48">
        <f t="shared" ref="AP50:AP56" si="60">(AM50*K50)</f>
        <v>12672</v>
      </c>
      <c r="AQ50" s="46"/>
      <c r="AR50" s="82"/>
    </row>
    <row r="51" spans="1:47" x14ac:dyDescent="0.35">
      <c r="A51" s="167"/>
      <c r="B51" s="150"/>
      <c r="C51" s="104" t="s">
        <v>131</v>
      </c>
      <c r="D51" s="69" t="s">
        <v>132</v>
      </c>
      <c r="E51" s="105"/>
      <c r="F51" s="106" t="s">
        <v>118</v>
      </c>
      <c r="G51" s="160" t="s">
        <v>53</v>
      </c>
      <c r="H51" s="161"/>
      <c r="I51" s="162"/>
      <c r="J51" s="71" t="s">
        <v>115</v>
      </c>
      <c r="K51" s="31">
        <v>250.55</v>
      </c>
      <c r="L51" s="37">
        <v>33</v>
      </c>
      <c r="M51" s="37"/>
      <c r="N51" s="37">
        <v>32</v>
      </c>
      <c r="O51" s="38">
        <f t="shared" si="49"/>
        <v>8017.6</v>
      </c>
      <c r="P51" s="37">
        <v>0</v>
      </c>
      <c r="Q51" s="38">
        <f t="shared" si="50"/>
        <v>0</v>
      </c>
      <c r="R51" s="37">
        <v>-1</v>
      </c>
      <c r="S51" s="38">
        <f t="shared" si="51"/>
        <v>-250.55</v>
      </c>
      <c r="T51" s="37">
        <v>-3</v>
      </c>
      <c r="U51" s="72">
        <f t="shared" si="52"/>
        <v>-751.65000000000009</v>
      </c>
      <c r="V51" s="39">
        <v>-1</v>
      </c>
      <c r="W51" s="72">
        <f t="shared" si="53"/>
        <v>-250.55</v>
      </c>
      <c r="X51" s="74">
        <f>5+1</f>
        <v>6</v>
      </c>
      <c r="Y51" s="75">
        <f>1036+897</f>
        <v>1933</v>
      </c>
      <c r="Z51" s="73">
        <v>0</v>
      </c>
      <c r="AA51" s="72">
        <v>0</v>
      </c>
      <c r="AB51" s="42"/>
      <c r="AC51" s="43"/>
      <c r="AD51" s="73"/>
      <c r="AE51" s="72"/>
      <c r="AF51" s="72"/>
      <c r="AG51" s="72"/>
      <c r="AH51" s="42"/>
      <c r="AI51" s="43"/>
      <c r="AJ51" s="45">
        <f t="shared" si="54"/>
        <v>27</v>
      </c>
      <c r="AK51" s="24">
        <f t="shared" si="55"/>
        <v>6</v>
      </c>
      <c r="AL51" s="46">
        <f t="shared" si="56"/>
        <v>0</v>
      </c>
      <c r="AM51" s="47">
        <f t="shared" si="57"/>
        <v>33</v>
      </c>
      <c r="AN51" s="47">
        <f t="shared" si="58"/>
        <v>6764.85</v>
      </c>
      <c r="AO51" s="47">
        <f t="shared" si="59"/>
        <v>1503.3000000000002</v>
      </c>
      <c r="AP51" s="48">
        <f t="shared" si="60"/>
        <v>8268.15</v>
      </c>
      <c r="AQ51" s="82"/>
      <c r="AR51" s="82"/>
      <c r="AU51" s="1" t="s">
        <v>133</v>
      </c>
    </row>
    <row r="52" spans="1:47" x14ac:dyDescent="0.35">
      <c r="A52" s="167"/>
      <c r="B52" s="150"/>
      <c r="C52" s="104" t="s">
        <v>134</v>
      </c>
      <c r="D52" s="69" t="s">
        <v>135</v>
      </c>
      <c r="E52" s="105"/>
      <c r="F52" s="106" t="s">
        <v>118</v>
      </c>
      <c r="G52" s="160" t="s">
        <v>53</v>
      </c>
      <c r="H52" s="161"/>
      <c r="I52" s="162"/>
      <c r="J52" s="71" t="s">
        <v>115</v>
      </c>
      <c r="K52" s="31">
        <v>249.73</v>
      </c>
      <c r="L52" s="37">
        <v>70</v>
      </c>
      <c r="M52" s="37"/>
      <c r="N52" s="37"/>
      <c r="O52" s="38">
        <f t="shared" si="49"/>
        <v>0</v>
      </c>
      <c r="P52" s="37"/>
      <c r="Q52" s="38">
        <f t="shared" si="50"/>
        <v>0</v>
      </c>
      <c r="R52" s="37"/>
      <c r="S52" s="38">
        <f t="shared" si="51"/>
        <v>0</v>
      </c>
      <c r="T52" s="37"/>
      <c r="U52" s="72">
        <f t="shared" si="52"/>
        <v>0</v>
      </c>
      <c r="V52" s="39">
        <v>62</v>
      </c>
      <c r="W52" s="72">
        <f t="shared" si="53"/>
        <v>15483.26</v>
      </c>
      <c r="X52" s="74">
        <f>7+1</f>
        <v>8</v>
      </c>
      <c r="Y52" s="75">
        <f>1549+897</f>
        <v>2446</v>
      </c>
      <c r="Z52" s="73">
        <v>0</v>
      </c>
      <c r="AA52" s="72">
        <v>0</v>
      </c>
      <c r="AB52" s="42"/>
      <c r="AC52" s="43"/>
      <c r="AD52" s="73"/>
      <c r="AE52" s="72"/>
      <c r="AF52" s="72"/>
      <c r="AG52" s="72"/>
      <c r="AH52" s="42"/>
      <c r="AI52" s="43"/>
      <c r="AJ52" s="45">
        <f t="shared" si="54"/>
        <v>62</v>
      </c>
      <c r="AK52" s="24">
        <f t="shared" si="55"/>
        <v>8</v>
      </c>
      <c r="AL52" s="46">
        <f t="shared" si="56"/>
        <v>0</v>
      </c>
      <c r="AM52" s="47">
        <f t="shared" si="57"/>
        <v>70</v>
      </c>
      <c r="AN52" s="47">
        <f t="shared" si="58"/>
        <v>15483.26</v>
      </c>
      <c r="AO52" s="47">
        <f t="shared" si="59"/>
        <v>1997.84</v>
      </c>
      <c r="AP52" s="48">
        <f t="shared" si="60"/>
        <v>17481.099999999999</v>
      </c>
      <c r="AQ52" s="82"/>
      <c r="AR52" s="82"/>
      <c r="AU52" s="1" t="s">
        <v>136</v>
      </c>
    </row>
    <row r="53" spans="1:47" x14ac:dyDescent="0.35">
      <c r="A53" s="167"/>
      <c r="B53" s="150"/>
      <c r="C53" s="104" t="s">
        <v>137</v>
      </c>
      <c r="D53" s="69" t="s">
        <v>138</v>
      </c>
      <c r="E53" s="105"/>
      <c r="F53" s="106" t="s">
        <v>118</v>
      </c>
      <c r="G53" s="160" t="s">
        <v>53</v>
      </c>
      <c r="H53" s="161"/>
      <c r="I53" s="162"/>
      <c r="J53" s="71" t="s">
        <v>115</v>
      </c>
      <c r="K53" s="31">
        <v>231.97</v>
      </c>
      <c r="L53" s="37">
        <v>61</v>
      </c>
      <c r="M53" s="37"/>
      <c r="N53" s="37"/>
      <c r="O53" s="38">
        <f t="shared" si="49"/>
        <v>0</v>
      </c>
      <c r="P53" s="37"/>
      <c r="Q53" s="38">
        <f t="shared" si="50"/>
        <v>0</v>
      </c>
      <c r="R53" s="37"/>
      <c r="S53" s="38">
        <f t="shared" si="51"/>
        <v>0</v>
      </c>
      <c r="T53" s="37">
        <v>56</v>
      </c>
      <c r="U53" s="72">
        <f t="shared" si="52"/>
        <v>12990.32</v>
      </c>
      <c r="V53" s="39">
        <v>0</v>
      </c>
      <c r="W53" s="72">
        <f t="shared" si="53"/>
        <v>0</v>
      </c>
      <c r="X53" s="74">
        <v>4</v>
      </c>
      <c r="Y53" s="75">
        <v>872</v>
      </c>
      <c r="Z53" s="73">
        <v>0</v>
      </c>
      <c r="AA53" s="72">
        <v>0</v>
      </c>
      <c r="AB53" s="42"/>
      <c r="AC53" s="43"/>
      <c r="AD53" s="73"/>
      <c r="AE53" s="72">
        <f>AD53*K53</f>
        <v>0</v>
      </c>
      <c r="AF53" s="72"/>
      <c r="AG53" s="72"/>
      <c r="AH53" s="42"/>
      <c r="AI53" s="43"/>
      <c r="AJ53" s="45">
        <f t="shared" si="54"/>
        <v>56</v>
      </c>
      <c r="AK53" s="24">
        <f t="shared" si="55"/>
        <v>4</v>
      </c>
      <c r="AL53" s="46">
        <f t="shared" si="56"/>
        <v>1</v>
      </c>
      <c r="AM53" s="47">
        <f t="shared" si="57"/>
        <v>60</v>
      </c>
      <c r="AN53" s="47">
        <f t="shared" si="58"/>
        <v>12990.32</v>
      </c>
      <c r="AO53" s="47">
        <f t="shared" si="59"/>
        <v>927.88</v>
      </c>
      <c r="AP53" s="48">
        <f t="shared" si="60"/>
        <v>13918.2</v>
      </c>
      <c r="AQ53" s="82"/>
      <c r="AR53" s="82"/>
      <c r="AU53" s="1" t="s">
        <v>128</v>
      </c>
    </row>
    <row r="54" spans="1:47" x14ac:dyDescent="0.35">
      <c r="A54" s="167"/>
      <c r="B54" s="150"/>
      <c r="C54" s="104" t="s">
        <v>139</v>
      </c>
      <c r="D54" s="69" t="s">
        <v>140</v>
      </c>
      <c r="E54" s="105"/>
      <c r="F54" s="106" t="s">
        <v>118</v>
      </c>
      <c r="G54" s="160" t="s">
        <v>53</v>
      </c>
      <c r="H54" s="161"/>
      <c r="I54" s="162"/>
      <c r="J54" s="71" t="s">
        <v>115</v>
      </c>
      <c r="K54" s="31">
        <v>244.27</v>
      </c>
      <c r="L54" s="37">
        <v>66</v>
      </c>
      <c r="M54" s="37"/>
      <c r="N54" s="37"/>
      <c r="O54" s="38">
        <f t="shared" si="49"/>
        <v>0</v>
      </c>
      <c r="P54" s="37"/>
      <c r="Q54" s="38">
        <f t="shared" si="50"/>
        <v>0</v>
      </c>
      <c r="R54" s="37"/>
      <c r="S54" s="38">
        <f t="shared" si="51"/>
        <v>0</v>
      </c>
      <c r="T54" s="37"/>
      <c r="U54" s="72">
        <f t="shared" si="52"/>
        <v>0</v>
      </c>
      <c r="V54" s="73"/>
      <c r="W54" s="72"/>
      <c r="X54" s="74">
        <f>17+4</f>
        <v>21</v>
      </c>
      <c r="Y54" s="75">
        <f>3621+1321</f>
        <v>4942</v>
      </c>
      <c r="Z54" s="73">
        <f>36+6</f>
        <v>42</v>
      </c>
      <c r="AA54" s="72">
        <f>Z54*K54</f>
        <v>10259.34</v>
      </c>
      <c r="AB54" s="42"/>
      <c r="AC54" s="43"/>
      <c r="AD54" s="73"/>
      <c r="AE54" s="72">
        <f>AD54*K54</f>
        <v>0</v>
      </c>
      <c r="AF54" s="72"/>
      <c r="AG54" s="72"/>
      <c r="AH54" s="42"/>
      <c r="AI54" s="43"/>
      <c r="AJ54" s="45">
        <f t="shared" si="54"/>
        <v>42</v>
      </c>
      <c r="AK54" s="24">
        <f t="shared" si="55"/>
        <v>21</v>
      </c>
      <c r="AL54" s="46">
        <f t="shared" si="56"/>
        <v>3</v>
      </c>
      <c r="AM54" s="47">
        <f t="shared" si="57"/>
        <v>63</v>
      </c>
      <c r="AN54" s="47">
        <f t="shared" si="58"/>
        <v>10259.34</v>
      </c>
      <c r="AO54" s="47">
        <f t="shared" si="59"/>
        <v>5129.67</v>
      </c>
      <c r="AP54" s="48">
        <f t="shared" si="60"/>
        <v>15389.01</v>
      </c>
      <c r="AQ54" s="82"/>
      <c r="AR54" s="82"/>
      <c r="AU54" s="1" t="s">
        <v>122</v>
      </c>
    </row>
    <row r="55" spans="1:47" x14ac:dyDescent="0.35">
      <c r="A55" s="167"/>
      <c r="B55" s="150"/>
      <c r="C55" s="104" t="s">
        <v>141</v>
      </c>
      <c r="D55" s="69"/>
      <c r="E55" s="105"/>
      <c r="F55" s="106" t="s">
        <v>142</v>
      </c>
      <c r="G55" s="160" t="s">
        <v>53</v>
      </c>
      <c r="H55" s="161"/>
      <c r="I55" s="162"/>
      <c r="J55" s="71" t="s">
        <v>143</v>
      </c>
      <c r="K55" s="31">
        <v>219.96</v>
      </c>
      <c r="L55" s="37">
        <v>54</v>
      </c>
      <c r="M55" s="37"/>
      <c r="N55" s="37"/>
      <c r="O55" s="38">
        <f t="shared" si="49"/>
        <v>0</v>
      </c>
      <c r="P55" s="37"/>
      <c r="Q55" s="38">
        <f t="shared" si="50"/>
        <v>0</v>
      </c>
      <c r="R55" s="37">
        <v>45</v>
      </c>
      <c r="S55" s="38">
        <f t="shared" si="51"/>
        <v>9898.2000000000007</v>
      </c>
      <c r="T55" s="37">
        <v>7</v>
      </c>
      <c r="U55" s="72">
        <f t="shared" si="52"/>
        <v>1539.72</v>
      </c>
      <c r="V55" s="39"/>
      <c r="W55" s="72">
        <f>V55*K55</f>
        <v>0</v>
      </c>
      <c r="X55" s="74"/>
      <c r="Y55" s="75"/>
      <c r="Z55" s="73">
        <v>0</v>
      </c>
      <c r="AA55" s="72">
        <v>0</v>
      </c>
      <c r="AB55" s="42"/>
      <c r="AC55" s="43"/>
      <c r="AD55" s="73">
        <v>1</v>
      </c>
      <c r="AE55" s="72">
        <f>AD55*K55</f>
        <v>219.96</v>
      </c>
      <c r="AF55" s="72">
        <v>-2</v>
      </c>
      <c r="AG55" s="72"/>
      <c r="AH55" s="42"/>
      <c r="AI55" s="43"/>
      <c r="AJ55" s="45">
        <f t="shared" si="54"/>
        <v>51</v>
      </c>
      <c r="AK55" s="24">
        <f t="shared" si="55"/>
        <v>0</v>
      </c>
      <c r="AL55" s="46">
        <f t="shared" si="56"/>
        <v>3</v>
      </c>
      <c r="AM55" s="47">
        <f t="shared" si="57"/>
        <v>51</v>
      </c>
      <c r="AN55" s="47">
        <f t="shared" si="58"/>
        <v>11217.960000000001</v>
      </c>
      <c r="AO55" s="47">
        <f t="shared" si="59"/>
        <v>0</v>
      </c>
      <c r="AP55" s="48">
        <f t="shared" si="60"/>
        <v>11217.960000000001</v>
      </c>
      <c r="AQ55" s="46"/>
      <c r="AR55" s="82"/>
      <c r="AU55" s="1" t="s">
        <v>144</v>
      </c>
    </row>
    <row r="56" spans="1:47" x14ac:dyDescent="0.35">
      <c r="A56" s="167"/>
      <c r="B56" s="150"/>
      <c r="C56" s="109" t="s">
        <v>145</v>
      </c>
      <c r="D56" s="69" t="s">
        <v>146</v>
      </c>
      <c r="E56" s="105"/>
      <c r="F56" s="106" t="s">
        <v>142</v>
      </c>
      <c r="G56" s="160" t="s">
        <v>147</v>
      </c>
      <c r="H56" s="161"/>
      <c r="I56" s="162"/>
      <c r="J56" s="71" t="s">
        <v>59</v>
      </c>
      <c r="K56" s="31">
        <v>212.42</v>
      </c>
      <c r="L56" s="37">
        <v>50</v>
      </c>
      <c r="M56" s="37"/>
      <c r="N56" s="37">
        <v>47</v>
      </c>
      <c r="O56" s="38">
        <f t="shared" si="49"/>
        <v>9983.74</v>
      </c>
      <c r="P56" s="37">
        <v>0</v>
      </c>
      <c r="Q56" s="38">
        <f t="shared" si="50"/>
        <v>0</v>
      </c>
      <c r="R56" s="37">
        <v>0</v>
      </c>
      <c r="S56" s="38">
        <f t="shared" si="51"/>
        <v>0</v>
      </c>
      <c r="T56" s="37"/>
      <c r="U56" s="72">
        <f t="shared" si="52"/>
        <v>0</v>
      </c>
      <c r="V56" s="39">
        <v>-2</v>
      </c>
      <c r="W56" s="72">
        <f>V56*K56</f>
        <v>-424.84</v>
      </c>
      <c r="X56" s="74">
        <f>3</f>
        <v>3</v>
      </c>
      <c r="Y56" s="75">
        <f>600</f>
        <v>600</v>
      </c>
      <c r="Z56" s="73">
        <v>0</v>
      </c>
      <c r="AA56" s="72">
        <v>0</v>
      </c>
      <c r="AB56" s="42"/>
      <c r="AC56" s="43"/>
      <c r="AD56" s="73"/>
      <c r="AE56" s="72">
        <f>AD56*K56</f>
        <v>0</v>
      </c>
      <c r="AF56" s="72"/>
      <c r="AG56" s="72"/>
      <c r="AH56" s="42"/>
      <c r="AI56" s="43"/>
      <c r="AJ56" s="45">
        <f t="shared" si="54"/>
        <v>45</v>
      </c>
      <c r="AK56" s="24">
        <f t="shared" si="55"/>
        <v>3</v>
      </c>
      <c r="AL56" s="46">
        <f t="shared" si="56"/>
        <v>2</v>
      </c>
      <c r="AM56" s="47">
        <f t="shared" si="57"/>
        <v>48</v>
      </c>
      <c r="AN56" s="47">
        <f t="shared" si="58"/>
        <v>9558.9</v>
      </c>
      <c r="AO56" s="47">
        <f t="shared" si="59"/>
        <v>637.26</v>
      </c>
      <c r="AP56" s="48">
        <f t="shared" si="60"/>
        <v>10196.16</v>
      </c>
      <c r="AQ56" s="82"/>
      <c r="AR56" s="82"/>
      <c r="AU56" s="1" t="s">
        <v>128</v>
      </c>
    </row>
    <row r="57" spans="1:47" x14ac:dyDescent="0.35">
      <c r="A57" s="167"/>
      <c r="B57" s="150"/>
      <c r="C57" s="19"/>
      <c r="D57" s="111"/>
      <c r="E57" s="19"/>
      <c r="F57" s="163" t="s">
        <v>49</v>
      </c>
      <c r="G57" s="163"/>
      <c r="H57" s="163"/>
      <c r="I57" s="163"/>
      <c r="J57" s="163"/>
      <c r="K57" s="163"/>
      <c r="L57" s="163"/>
      <c r="M57" s="54">
        <f>SUM(M53:M56)</f>
        <v>0</v>
      </c>
      <c r="N57" s="54">
        <f t="shared" ref="N57:AP57" si="61">SUM(N46:N56)</f>
        <v>222</v>
      </c>
      <c r="O57" s="55">
        <f t="shared" si="61"/>
        <v>54208.459999999992</v>
      </c>
      <c r="P57" s="54">
        <f t="shared" si="61"/>
        <v>0</v>
      </c>
      <c r="Q57" s="55">
        <f t="shared" si="61"/>
        <v>0</v>
      </c>
      <c r="R57" s="54">
        <f t="shared" si="61"/>
        <v>71</v>
      </c>
      <c r="S57" s="55">
        <f t="shared" si="61"/>
        <v>16481.46</v>
      </c>
      <c r="T57" s="54">
        <f t="shared" si="61"/>
        <v>19</v>
      </c>
      <c r="U57" s="55">
        <f t="shared" si="61"/>
        <v>3152.7500000000009</v>
      </c>
      <c r="V57" s="54">
        <f t="shared" si="61"/>
        <v>58</v>
      </c>
      <c r="W57" s="55">
        <f t="shared" si="61"/>
        <v>14563.5</v>
      </c>
      <c r="X57" s="56">
        <f t="shared" si="61"/>
        <v>119</v>
      </c>
      <c r="Y57" s="57">
        <f t="shared" si="61"/>
        <v>31900</v>
      </c>
      <c r="Z57" s="54">
        <f t="shared" si="61"/>
        <v>42</v>
      </c>
      <c r="AA57" s="55">
        <f t="shared" si="61"/>
        <v>10259.34</v>
      </c>
      <c r="AB57" s="59"/>
      <c r="AC57" s="60"/>
      <c r="AD57" s="54">
        <f t="shared" ref="AD57" si="62">SUM(AD46:AD56)</f>
        <v>1</v>
      </c>
      <c r="AE57" s="55">
        <f>SUM(AE46:AE56)</f>
        <v>219.96</v>
      </c>
      <c r="AF57" s="55"/>
      <c r="AG57" s="55"/>
      <c r="AH57" s="59"/>
      <c r="AI57" s="60"/>
      <c r="AJ57" s="79">
        <f>SUM(AJ46:AJ56)</f>
        <v>412</v>
      </c>
      <c r="AK57" s="58">
        <f>SUM(AK46:AK56)</f>
        <v>119</v>
      </c>
      <c r="AL57" s="54">
        <f t="shared" si="61"/>
        <v>14</v>
      </c>
      <c r="AM57" s="54">
        <f>SUM(AM46:AM56)</f>
        <v>531</v>
      </c>
      <c r="AN57" s="54">
        <f t="shared" ref="AN57:AO57" si="63">SUM(AN46:AN56)</f>
        <v>98689.919999999998</v>
      </c>
      <c r="AO57" s="54">
        <f t="shared" si="63"/>
        <v>30216.91</v>
      </c>
      <c r="AP57" s="55">
        <f t="shared" si="61"/>
        <v>128906.83</v>
      </c>
      <c r="AQ57" s="54">
        <f>AE57*121</f>
        <v>26615.16</v>
      </c>
      <c r="AR57" s="54">
        <f>AP57*160</f>
        <v>20625092.800000001</v>
      </c>
      <c r="AS57" s="61"/>
      <c r="AT57" s="61"/>
    </row>
    <row r="58" spans="1:47" x14ac:dyDescent="0.35">
      <c r="A58" s="8"/>
      <c r="B58" s="28"/>
      <c r="C58" s="19"/>
      <c r="D58" s="111"/>
      <c r="E58" s="19"/>
      <c r="F58" s="53"/>
      <c r="G58" s="53"/>
      <c r="H58" s="53"/>
      <c r="I58" s="53"/>
      <c r="J58" s="53"/>
      <c r="K58" s="53"/>
      <c r="L58" s="53"/>
      <c r="M58" s="54"/>
      <c r="N58" s="54"/>
      <c r="O58" s="55"/>
      <c r="P58" s="54"/>
      <c r="Q58" s="55"/>
      <c r="R58" s="54"/>
      <c r="S58" s="55"/>
      <c r="T58" s="54"/>
      <c r="U58" s="55"/>
      <c r="V58" s="54"/>
      <c r="W58" s="55"/>
      <c r="X58" s="56"/>
      <c r="Y58" s="57"/>
      <c r="Z58" s="54"/>
      <c r="AA58" s="55"/>
      <c r="AB58" s="59"/>
      <c r="AC58" s="60"/>
      <c r="AD58" s="54"/>
      <c r="AE58" s="55"/>
      <c r="AF58" s="55"/>
      <c r="AG58" s="55"/>
      <c r="AH58" s="59"/>
      <c r="AI58" s="60"/>
      <c r="AJ58" s="79"/>
      <c r="AK58" s="58"/>
      <c r="AL58" s="54"/>
      <c r="AM58" s="54"/>
      <c r="AN58" s="54">
        <f>AN57+AN44</f>
        <v>319121.92000000004</v>
      </c>
      <c r="AO58" s="54">
        <f>AO57+AO44</f>
        <v>30216.91</v>
      </c>
      <c r="AP58" s="55">
        <f>AN58+AO58</f>
        <v>349338.83</v>
      </c>
      <c r="AQ58" s="54"/>
      <c r="AR58" s="54"/>
      <c r="AS58" s="80">
        <v>326091.42</v>
      </c>
      <c r="AT58" s="80"/>
      <c r="AU58" s="81">
        <f>AS58-AP58</f>
        <v>-23247.410000000033</v>
      </c>
    </row>
    <row r="59" spans="1:47" x14ac:dyDescent="0.35">
      <c r="A59" s="82"/>
      <c r="B59" s="83"/>
      <c r="C59" s="84"/>
      <c r="D59" s="85"/>
      <c r="E59" s="84"/>
      <c r="F59" s="84"/>
      <c r="G59" s="84"/>
      <c r="H59" s="84"/>
      <c r="I59" s="84"/>
      <c r="J59" s="84"/>
      <c r="K59" s="84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7"/>
      <c r="AK59" s="86"/>
      <c r="AL59" s="86"/>
      <c r="AM59" s="86"/>
      <c r="AN59" s="86"/>
      <c r="AO59" s="86"/>
      <c r="AP59" s="86"/>
      <c r="AQ59" s="86"/>
      <c r="AR59" s="88"/>
      <c r="AS59" s="89"/>
      <c r="AT59" s="89"/>
    </row>
    <row r="60" spans="1:47" x14ac:dyDescent="0.35">
      <c r="A60" s="82"/>
      <c r="B60" s="82"/>
      <c r="C60" s="82"/>
      <c r="D60" s="113"/>
      <c r="E60" s="82"/>
      <c r="F60" s="82"/>
      <c r="G60" s="82"/>
      <c r="H60" s="82"/>
      <c r="I60" s="82"/>
      <c r="J60" s="82"/>
      <c r="K60" s="82"/>
      <c r="L60" s="19"/>
      <c r="M60" s="82"/>
      <c r="N60" s="82"/>
      <c r="O60" s="76"/>
      <c r="P60" s="82"/>
      <c r="Q60" s="76"/>
      <c r="R60" s="82"/>
      <c r="S60" s="76"/>
      <c r="T60" s="82"/>
      <c r="U60" s="76"/>
      <c r="V60" s="114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115"/>
      <c r="AK60" s="114"/>
      <c r="AL60" s="82"/>
      <c r="AM60" s="82"/>
      <c r="AN60" s="82"/>
      <c r="AO60" s="82"/>
      <c r="AP60" s="76"/>
      <c r="AQ60" s="76">
        <f>SUM(AQ5:AQ59)</f>
        <v>10993767.370000001</v>
      </c>
      <c r="AR60" s="76">
        <f>SUM(AR5:AR59)</f>
        <v>132756707.2</v>
      </c>
      <c r="AS60" s="77"/>
      <c r="AT60" s="77"/>
    </row>
    <row r="61" spans="1:47" x14ac:dyDescent="0.35">
      <c r="V61" s="7"/>
    </row>
    <row r="62" spans="1:47" x14ac:dyDescent="0.35">
      <c r="V62" s="7"/>
    </row>
    <row r="63" spans="1:47" x14ac:dyDescent="0.35">
      <c r="V63" s="7"/>
      <c r="AP63" s="5" t="s">
        <v>148</v>
      </c>
    </row>
    <row r="64" spans="1:47" x14ac:dyDescent="0.35">
      <c r="Q64" s="5" t="s">
        <v>149</v>
      </c>
      <c r="V64" s="7"/>
      <c r="AM64" s="112">
        <f>AM13+AM37+AM57</f>
        <v>978</v>
      </c>
      <c r="AN64" s="112"/>
      <c r="AO64" s="112"/>
      <c r="AP64" s="5">
        <v>914</v>
      </c>
      <c r="AQ64" s="5">
        <f>AP64-AM64</f>
        <v>-64</v>
      </c>
    </row>
    <row r="65" spans="2:43" x14ac:dyDescent="0.35">
      <c r="C65" s="29" t="s">
        <v>46</v>
      </c>
      <c r="D65" s="116"/>
      <c r="E65" s="117"/>
      <c r="Q65" s="5" t="s">
        <v>150</v>
      </c>
      <c r="V65" s="7"/>
      <c r="AM65" s="112">
        <f>AM9+AM22+AM44</f>
        <v>820</v>
      </c>
      <c r="AN65" s="112"/>
      <c r="AO65" s="112"/>
      <c r="AP65" s="5">
        <v>535</v>
      </c>
      <c r="AQ65" s="5">
        <f>AP65-AM65</f>
        <v>-285</v>
      </c>
    </row>
    <row r="66" spans="2:43" x14ac:dyDescent="0.35">
      <c r="C66" s="29" t="s">
        <v>151</v>
      </c>
      <c r="D66" s="116"/>
      <c r="E66" s="117"/>
      <c r="V66" s="7"/>
    </row>
    <row r="67" spans="2:43" x14ac:dyDescent="0.35">
      <c r="V67" s="7"/>
    </row>
    <row r="68" spans="2:43" ht="14.6" x14ac:dyDescent="0.35">
      <c r="C68" s="118"/>
      <c r="D68" s="119"/>
      <c r="E68" s="118"/>
      <c r="V68" s="7"/>
    </row>
    <row r="69" spans="2:43" ht="14.6" x14ac:dyDescent="0.35">
      <c r="C69" s="120"/>
      <c r="D69" s="121"/>
      <c r="E69" s="120"/>
      <c r="V69" s="7"/>
    </row>
    <row r="70" spans="2:43" ht="14.6" x14ac:dyDescent="0.35">
      <c r="C70" s="122"/>
      <c r="D70" s="123"/>
      <c r="E70" s="122"/>
      <c r="V70" s="7"/>
    </row>
    <row r="71" spans="2:43" ht="14.6" x14ac:dyDescent="0.35">
      <c r="C71" s="122"/>
      <c r="D71" s="123"/>
      <c r="E71" s="122"/>
      <c r="V71" s="7"/>
    </row>
    <row r="72" spans="2:43" x14ac:dyDescent="0.35">
      <c r="V72" s="7"/>
    </row>
    <row r="73" spans="2:43" x14ac:dyDescent="0.35">
      <c r="B73" s="164" t="s">
        <v>50</v>
      </c>
      <c r="C73" s="82" t="s">
        <v>152</v>
      </c>
      <c r="D73" s="113"/>
      <c r="E73" s="82"/>
      <c r="F73" s="82"/>
      <c r="G73" s="82"/>
      <c r="H73" s="82"/>
      <c r="I73" s="82"/>
      <c r="V73" s="7"/>
    </row>
    <row r="74" spans="2:43" x14ac:dyDescent="0.35">
      <c r="B74" s="165"/>
      <c r="C74" s="82" t="s">
        <v>153</v>
      </c>
      <c r="D74" s="113"/>
      <c r="E74" s="82"/>
      <c r="F74" s="82"/>
      <c r="G74" s="82" t="s">
        <v>154</v>
      </c>
      <c r="H74" s="82"/>
      <c r="I74" s="82"/>
      <c r="V74" s="7"/>
    </row>
    <row r="75" spans="2:43" x14ac:dyDescent="0.35">
      <c r="B75" s="165"/>
      <c r="C75" s="82" t="s">
        <v>155</v>
      </c>
      <c r="D75" s="113"/>
      <c r="E75" s="82"/>
      <c r="F75" s="82"/>
      <c r="G75" s="82" t="s">
        <v>154</v>
      </c>
      <c r="H75" s="82">
        <v>991</v>
      </c>
      <c r="I75" s="82"/>
      <c r="V75" s="7"/>
    </row>
    <row r="76" spans="2:43" x14ac:dyDescent="0.35">
      <c r="B76" s="165"/>
      <c r="C76" s="82" t="s">
        <v>156</v>
      </c>
      <c r="D76" s="113"/>
      <c r="E76" s="82"/>
      <c r="F76" s="82"/>
      <c r="G76" s="82" t="s">
        <v>154</v>
      </c>
      <c r="H76" s="82">
        <v>171</v>
      </c>
      <c r="I76" s="82"/>
      <c r="V76" s="7"/>
    </row>
    <row r="77" spans="2:43" x14ac:dyDescent="0.35">
      <c r="B77" s="165"/>
      <c r="C77" s="19" t="s">
        <v>157</v>
      </c>
      <c r="D77" s="111"/>
      <c r="E77" s="19"/>
      <c r="F77" s="19"/>
      <c r="G77" s="19" t="s">
        <v>154</v>
      </c>
      <c r="H77" s="19">
        <f>SUM(H75:H76)</f>
        <v>1162</v>
      </c>
      <c r="I77" s="19"/>
      <c r="V77" s="7"/>
    </row>
    <row r="78" spans="2:43" x14ac:dyDescent="0.35">
      <c r="B78" s="165"/>
      <c r="C78" s="82"/>
      <c r="D78" s="113"/>
      <c r="E78" s="82"/>
      <c r="F78" s="82"/>
      <c r="G78" s="82"/>
      <c r="H78" s="82">
        <v>923</v>
      </c>
      <c r="I78" s="82" t="s">
        <v>158</v>
      </c>
      <c r="V78" s="7"/>
    </row>
    <row r="79" spans="2:43" x14ac:dyDescent="0.35">
      <c r="B79" s="165"/>
      <c r="C79" s="82"/>
      <c r="D79" s="113"/>
      <c r="E79" s="82"/>
      <c r="F79" s="82"/>
      <c r="G79" s="82"/>
      <c r="H79" s="82">
        <v>64</v>
      </c>
      <c r="I79" s="82" t="s">
        <v>159</v>
      </c>
    </row>
    <row r="80" spans="2:43" x14ac:dyDescent="0.35">
      <c r="B80" s="165"/>
      <c r="C80" s="82"/>
      <c r="D80" s="113"/>
      <c r="E80" s="82"/>
      <c r="F80" s="82"/>
      <c r="G80" s="82"/>
      <c r="H80" s="82">
        <v>103</v>
      </c>
      <c r="I80" s="82" t="s">
        <v>160</v>
      </c>
    </row>
    <row r="81" spans="2:9" x14ac:dyDescent="0.35">
      <c r="B81" s="165"/>
      <c r="C81" s="82"/>
      <c r="D81" s="113"/>
      <c r="E81" s="82"/>
      <c r="F81" s="82"/>
      <c r="G81" s="82"/>
      <c r="H81" s="82">
        <v>65</v>
      </c>
      <c r="I81" s="82" t="s">
        <v>161</v>
      </c>
    </row>
    <row r="82" spans="2:9" x14ac:dyDescent="0.35">
      <c r="B82" s="165"/>
      <c r="C82" s="82"/>
      <c r="D82" s="113"/>
      <c r="E82" s="82"/>
      <c r="F82" s="82"/>
      <c r="G82" s="82"/>
      <c r="H82" s="82">
        <v>34</v>
      </c>
      <c r="I82" s="82" t="s">
        <v>162</v>
      </c>
    </row>
    <row r="83" spans="2:9" x14ac:dyDescent="0.35">
      <c r="B83" s="165"/>
      <c r="C83" s="82"/>
      <c r="D83" s="113"/>
      <c r="E83" s="82"/>
      <c r="F83" s="82"/>
      <c r="G83" s="82"/>
      <c r="H83" s="82">
        <v>66</v>
      </c>
      <c r="I83" s="82" t="s">
        <v>163</v>
      </c>
    </row>
    <row r="84" spans="2:9" x14ac:dyDescent="0.35">
      <c r="B84" s="165"/>
      <c r="C84" s="82"/>
      <c r="D84" s="113"/>
      <c r="E84" s="82"/>
      <c r="F84" s="82"/>
      <c r="G84" s="82"/>
      <c r="H84" s="19">
        <f>H77-(H78+H83)</f>
        <v>173</v>
      </c>
      <c r="I84" s="19" t="s">
        <v>164</v>
      </c>
    </row>
    <row r="85" spans="2:9" x14ac:dyDescent="0.35">
      <c r="B85" s="82"/>
      <c r="C85" s="82"/>
      <c r="D85" s="113"/>
      <c r="E85" s="82"/>
      <c r="F85" s="82"/>
      <c r="G85" s="82"/>
      <c r="H85" s="82"/>
      <c r="I85" s="82"/>
    </row>
    <row r="86" spans="2:9" x14ac:dyDescent="0.35">
      <c r="B86" s="166" t="s">
        <v>37</v>
      </c>
      <c r="C86" s="108" t="s">
        <v>165</v>
      </c>
      <c r="D86" s="124"/>
      <c r="E86" s="108"/>
      <c r="F86" s="108"/>
      <c r="G86" s="108" t="s">
        <v>154</v>
      </c>
      <c r="H86" s="108">
        <v>914</v>
      </c>
      <c r="I86" s="82"/>
    </row>
    <row r="87" spans="2:9" x14ac:dyDescent="0.35">
      <c r="B87" s="166"/>
      <c r="C87" s="108" t="s">
        <v>166</v>
      </c>
      <c r="D87" s="124"/>
      <c r="E87" s="108"/>
      <c r="F87" s="108"/>
      <c r="G87" s="108" t="s">
        <v>154</v>
      </c>
      <c r="H87" s="108">
        <v>92</v>
      </c>
      <c r="I87" s="82"/>
    </row>
    <row r="88" spans="2:9" x14ac:dyDescent="0.35">
      <c r="B88" s="166"/>
      <c r="C88" s="108" t="s">
        <v>167</v>
      </c>
      <c r="D88" s="124"/>
      <c r="E88" s="108"/>
      <c r="F88" s="108"/>
      <c r="G88" s="108" t="s">
        <v>154</v>
      </c>
      <c r="H88" s="108">
        <f>SUM(H86:H87)</f>
        <v>1006</v>
      </c>
      <c r="I88" s="82"/>
    </row>
    <row r="89" spans="2:9" x14ac:dyDescent="0.35">
      <c r="B89" s="166"/>
      <c r="C89" s="108"/>
      <c r="D89" s="124"/>
      <c r="E89" s="108"/>
      <c r="F89" s="108"/>
      <c r="G89" s="108"/>
      <c r="H89" s="108"/>
      <c r="I89" s="82"/>
    </row>
    <row r="90" spans="2:9" x14ac:dyDescent="0.35">
      <c r="B90" s="166"/>
      <c r="C90" s="108" t="s">
        <v>168</v>
      </c>
      <c r="D90" s="124"/>
      <c r="E90" s="108"/>
      <c r="F90" s="108"/>
      <c r="G90" s="108"/>
      <c r="H90" s="108">
        <f>H77-H88</f>
        <v>156</v>
      </c>
      <c r="I90" s="82"/>
    </row>
    <row r="94" spans="2:9" x14ac:dyDescent="0.35">
      <c r="C94" s="1" t="s">
        <v>169</v>
      </c>
    </row>
    <row r="95" spans="2:9" x14ac:dyDescent="0.35">
      <c r="C95" s="1" t="s">
        <v>170</v>
      </c>
      <c r="F95" s="1">
        <v>14</v>
      </c>
      <c r="G95" s="1" t="s">
        <v>171</v>
      </c>
    </row>
  </sheetData>
  <mergeCells count="65">
    <mergeCell ref="A3:A13"/>
    <mergeCell ref="B3:C4"/>
    <mergeCell ref="F3:M3"/>
    <mergeCell ref="N3:O3"/>
    <mergeCell ref="P3:Q3"/>
    <mergeCell ref="B11:B13"/>
    <mergeCell ref="G11:I11"/>
    <mergeCell ref="G12:I12"/>
    <mergeCell ref="F13:L13"/>
    <mergeCell ref="AH3:AI3"/>
    <mergeCell ref="AL3:AP3"/>
    <mergeCell ref="AR4:AR8"/>
    <mergeCell ref="B5:B9"/>
    <mergeCell ref="AQ5:AQ8"/>
    <mergeCell ref="F9:L9"/>
    <mergeCell ref="T3:U3"/>
    <mergeCell ref="V3:W3"/>
    <mergeCell ref="X3:Y3"/>
    <mergeCell ref="Z3:AA3"/>
    <mergeCell ref="AB3:AC3"/>
    <mergeCell ref="AD3:AE3"/>
    <mergeCell ref="R3:S3"/>
    <mergeCell ref="G21:I21"/>
    <mergeCell ref="F22:L22"/>
    <mergeCell ref="B24:B37"/>
    <mergeCell ref="G24:I24"/>
    <mergeCell ref="AF3:AG3"/>
    <mergeCell ref="G36:I36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F37:L37"/>
    <mergeCell ref="A40:A57"/>
    <mergeCell ref="B40:B44"/>
    <mergeCell ref="G43:I43"/>
    <mergeCell ref="F44:L44"/>
    <mergeCell ref="B46:B57"/>
    <mergeCell ref="G46:I46"/>
    <mergeCell ref="G47:I47"/>
    <mergeCell ref="G48:I48"/>
    <mergeCell ref="G49:I49"/>
    <mergeCell ref="A16:A37"/>
    <mergeCell ref="B16:B22"/>
    <mergeCell ref="G16:I16"/>
    <mergeCell ref="G17:I17"/>
    <mergeCell ref="G18:I18"/>
    <mergeCell ref="G19:I19"/>
    <mergeCell ref="G56:I56"/>
    <mergeCell ref="F57:L57"/>
    <mergeCell ref="B73:B84"/>
    <mergeCell ref="B86:B90"/>
    <mergeCell ref="G50:I50"/>
    <mergeCell ref="G51:I51"/>
    <mergeCell ref="G52:I52"/>
    <mergeCell ref="G53:I53"/>
    <mergeCell ref="G54:I54"/>
    <mergeCell ref="G55:I55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Tesis</vt:lpstr>
      <vt:lpstr>AG-OG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 Sertaç YILMAZ</dc:creator>
  <cp:lastModifiedBy>Oğuz Sertaç YILMAZ</cp:lastModifiedBy>
  <dcterms:created xsi:type="dcterms:W3CDTF">2025-06-11T07:44:36Z</dcterms:created>
  <dcterms:modified xsi:type="dcterms:W3CDTF">2025-06-11T07:46:19Z</dcterms:modified>
</cp:coreProperties>
</file>